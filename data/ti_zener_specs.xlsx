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3_ncr:1_{40F9EECB-0BF7-4464-8712-D637CA429123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Product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" l="1"/>
  <c r="C71" i="1"/>
  <c r="A71" i="1"/>
  <c r="D70" i="1"/>
  <c r="C70" i="1"/>
  <c r="A70" i="1"/>
  <c r="D69" i="1"/>
  <c r="C69" i="1"/>
  <c r="A69" i="1"/>
  <c r="D68" i="1"/>
  <c r="C68" i="1"/>
  <c r="A68" i="1"/>
  <c r="D67" i="1"/>
  <c r="C67" i="1"/>
  <c r="A67" i="1"/>
  <c r="D66" i="1"/>
  <c r="C66" i="1"/>
  <c r="A66" i="1"/>
  <c r="D65" i="1"/>
  <c r="C65" i="1"/>
  <c r="A65" i="1"/>
  <c r="D64" i="1"/>
  <c r="C64" i="1"/>
  <c r="A64" i="1"/>
  <c r="D63" i="1"/>
  <c r="C63" i="1"/>
  <c r="A63" i="1"/>
  <c r="D62" i="1"/>
  <c r="C62" i="1"/>
  <c r="A62" i="1"/>
  <c r="D61" i="1"/>
  <c r="C61" i="1"/>
  <c r="A61" i="1"/>
  <c r="D60" i="1"/>
  <c r="C60" i="1"/>
  <c r="A60" i="1"/>
  <c r="D59" i="1"/>
  <c r="C59" i="1"/>
  <c r="A59" i="1"/>
  <c r="D58" i="1"/>
  <c r="C58" i="1"/>
  <c r="A58" i="1"/>
  <c r="D57" i="1"/>
  <c r="C57" i="1"/>
  <c r="A57" i="1"/>
  <c r="D56" i="1"/>
  <c r="C56" i="1"/>
  <c r="A56" i="1"/>
  <c r="D55" i="1"/>
  <c r="C55" i="1"/>
  <c r="A55" i="1"/>
  <c r="D54" i="1"/>
  <c r="C54" i="1"/>
  <c r="A54" i="1"/>
  <c r="D53" i="1"/>
  <c r="C53" i="1"/>
  <c r="A53" i="1"/>
  <c r="D52" i="1"/>
  <c r="C52" i="1"/>
  <c r="A52" i="1"/>
  <c r="D51" i="1"/>
  <c r="C51" i="1"/>
  <c r="A51" i="1"/>
  <c r="D50" i="1"/>
  <c r="C50" i="1"/>
  <c r="A50" i="1"/>
  <c r="D49" i="1"/>
  <c r="C49" i="1"/>
  <c r="A49" i="1"/>
  <c r="D48" i="1"/>
  <c r="C48" i="1"/>
  <c r="A48" i="1"/>
  <c r="D47" i="1"/>
  <c r="C47" i="1"/>
  <c r="A47" i="1"/>
  <c r="D46" i="1"/>
  <c r="C46" i="1"/>
  <c r="A46" i="1"/>
  <c r="D45" i="1"/>
  <c r="C45" i="1"/>
  <c r="A45" i="1"/>
  <c r="D44" i="1"/>
  <c r="C44" i="1"/>
  <c r="A44" i="1"/>
  <c r="D43" i="1"/>
  <c r="C43" i="1"/>
  <c r="A43" i="1"/>
  <c r="D42" i="1"/>
  <c r="C42" i="1"/>
  <c r="A42" i="1"/>
  <c r="D41" i="1"/>
  <c r="C41" i="1"/>
  <c r="A41" i="1"/>
  <c r="D40" i="1"/>
  <c r="C40" i="1"/>
  <c r="A40" i="1"/>
  <c r="D39" i="1"/>
  <c r="C39" i="1"/>
  <c r="A39" i="1"/>
  <c r="D38" i="1"/>
  <c r="C38" i="1"/>
  <c r="A38" i="1"/>
  <c r="D37" i="1"/>
  <c r="C37" i="1"/>
  <c r="A37" i="1"/>
  <c r="D36" i="1"/>
  <c r="C36" i="1"/>
  <c r="A36" i="1"/>
  <c r="D35" i="1"/>
  <c r="C35" i="1"/>
  <c r="A35" i="1"/>
  <c r="D34" i="1"/>
  <c r="C34" i="1"/>
  <c r="A34" i="1"/>
  <c r="D33" i="1"/>
  <c r="C33" i="1"/>
  <c r="A33" i="1"/>
  <c r="D32" i="1"/>
  <c r="C32" i="1"/>
  <c r="A32" i="1"/>
  <c r="D31" i="1"/>
  <c r="C31" i="1"/>
  <c r="A31" i="1"/>
  <c r="D30" i="1"/>
  <c r="C30" i="1"/>
  <c r="A30" i="1"/>
  <c r="D29" i="1"/>
  <c r="C29" i="1"/>
  <c r="A29" i="1"/>
  <c r="D28" i="1"/>
  <c r="C28" i="1"/>
  <c r="A28" i="1"/>
  <c r="D27" i="1"/>
  <c r="C27" i="1"/>
  <c r="A27" i="1"/>
  <c r="D26" i="1"/>
  <c r="C26" i="1"/>
  <c r="A26" i="1"/>
  <c r="D25" i="1"/>
  <c r="C25" i="1"/>
  <c r="A25" i="1"/>
  <c r="D24" i="1"/>
  <c r="C24" i="1"/>
  <c r="A24" i="1"/>
  <c r="D23" i="1"/>
  <c r="C23" i="1"/>
  <c r="A23" i="1"/>
  <c r="D22" i="1"/>
  <c r="C22" i="1"/>
  <c r="A22" i="1"/>
  <c r="D21" i="1"/>
  <c r="C21" i="1"/>
  <c r="A21" i="1"/>
  <c r="D20" i="1"/>
  <c r="C20" i="1"/>
  <c r="A20" i="1"/>
  <c r="D19" i="1"/>
  <c r="C19" i="1"/>
  <c r="A19" i="1"/>
  <c r="D18" i="1"/>
  <c r="C18" i="1"/>
  <c r="A18" i="1"/>
  <c r="D17" i="1"/>
  <c r="C17" i="1"/>
  <c r="A17" i="1"/>
  <c r="D16" i="1"/>
  <c r="C16" i="1"/>
  <c r="A16" i="1"/>
  <c r="D15" i="1"/>
  <c r="C15" i="1"/>
  <c r="A15" i="1"/>
  <c r="D14" i="1"/>
  <c r="C14" i="1"/>
  <c r="A14" i="1"/>
  <c r="D13" i="1"/>
  <c r="C13" i="1"/>
  <c r="A13" i="1"/>
  <c r="D12" i="1"/>
  <c r="C12" i="1"/>
  <c r="A12" i="1"/>
</calcChain>
</file>

<file path=xl/sharedStrings.xml><?xml version="1.0" encoding="utf-8"?>
<sst xmlns="http://schemas.openxmlformats.org/spreadsheetml/2006/main" count="715" uniqueCount="374">
  <si>
    <t/>
  </si>
  <si>
    <t>Download details</t>
  </si>
  <si>
    <t>Parametric details for:</t>
  </si>
  <si>
    <t>Zener diodes</t>
  </si>
  <si>
    <t>File generated on:</t>
  </si>
  <si>
    <t xml:space="preserve">28 Jun 2026 09:01 PM </t>
  </si>
  <si>
    <t>Filter details:</t>
  </si>
  <si>
    <t>https://www.ti.com/product-category/passive-discrete/diodes/zener-diodes/products.html</t>
  </si>
  <si>
    <t>Note:</t>
  </si>
  <si>
    <t>This file contains only enabled columns.To see more data, enable additional columns on TI.com and then re-export</t>
  </si>
  <si>
    <t>To hide orderable part number details, select all contents, go to the Data tab and click Hide Detail</t>
  </si>
  <si>
    <t>Product or Part number</t>
  </si>
  <si>
    <t>Vz (nom) (V)</t>
  </si>
  <si>
    <t>PDF datasheet</t>
  </si>
  <si>
    <t>HTML datasheet</t>
  </si>
  <si>
    <t>Package name</t>
  </si>
  <si>
    <t>Pd (max) (W)</t>
  </si>
  <si>
    <t>IO leakage current (max) (nA)</t>
  </si>
  <si>
    <t>Price|Quantity (USD)</t>
  </si>
  <si>
    <t>Status</t>
  </si>
  <si>
    <t>IO capacitance (typ) (pF)</t>
  </si>
  <si>
    <t>Tolerance (±) (%)</t>
  </si>
  <si>
    <t>Number of channels</t>
  </si>
  <si>
    <t>Rating</t>
  </si>
  <si>
    <t>SOT-23-3</t>
  </si>
  <si>
    <t>ACTIVE</t>
  </si>
  <si>
    <t>Automotive</t>
  </si>
  <si>
    <t>ACTIVE</t>
  </si>
  <si>
    <t>Catalog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</si>
  <si>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</si>
  <si>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</si>
  <si>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</si>
  <si>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</si>
  <si>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</si>
  <si>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</si>
  <si>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</si>
  <si>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</si>
  <si>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</si>
  <si>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</si>
  <si>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</si>
  <si>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</si>
  <si>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</si>
  <si>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</si>
  <si>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</si>
  <si>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</si>
  <si>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</si>
  <si>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</si>
  <si>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</si>
  <si>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</si>
  <si>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</si>
  <si>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</si>
  <si>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</si>
  <si>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</si>
  <si>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</si>
  <si>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</si>
  <si>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</si>
  <si>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</si>
  <si>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</si>
  <si>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</si>
  <si>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</si>
  <si>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</si>
  <si>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</si>
  <si>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</si>
  <si>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</si>
  <si>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</si>
  <si>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</si>
  <si>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</si>
  <si>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SOT-23-3</t>
  </si>
  <si>
    <t>ACTIVE</t>
  </si>
  <si>
    <t>Catalog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</si>
  <si>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</si>
  <si>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</si>
  <si>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</si>
  <si>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</si>
  <si>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</si>
  <si>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</si>
  <si>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</si>
  <si>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</si>
  <si>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</si>
  <si>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</si>
  <si>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</si>
  <si>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</si>
  <si>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</si>
  <si>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</si>
  <si>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</si>
  <si>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</si>
  <si>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</si>
  <si>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</si>
  <si>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</si>
  <si>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</si>
  <si>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</si>
  <si>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</si>
  <si>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</si>
  <si>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</si>
  <si>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SOT-23-3</t>
  </si>
  <si>
    <t>ACTIVE</t>
  </si>
  <si>
    <t>Catalog</t>
  </si>
  <si>
    <t>SOT-23-3</t>
  </si>
  <si>
    <t>ACTIVE</t>
  </si>
  <si>
    <t>Automotive</t>
  </si>
  <si>
    <t>SOT-23-3</t>
  </si>
  <si>
    <t>ACTIVE</t>
  </si>
  <si>
    <t>Catalog</t>
  </si>
  <si>
    <t>SOT-23-3</t>
  </si>
  <si>
    <t>ACTIVE</t>
  </si>
  <si>
    <t>Automotive</t>
  </si>
  <si>
    <t>SOT-23-3</t>
  </si>
  <si>
    <t>ACTIVE</t>
  </si>
  <si>
    <t>Catalog</t>
  </si>
  <si>
    <t>SOT-23-3</t>
  </si>
  <si>
    <t>ACTIVE</t>
  </si>
  <si>
    <t>Automotive</t>
  </si>
  <si>
    <t>SOT-23-3</t>
  </si>
  <si>
    <t>ACTIVE</t>
  </si>
  <si>
    <t>Catalog</t>
  </si>
  <si>
    <t>SOT-23-3</t>
  </si>
  <si>
    <t>ACTIVE</t>
  </si>
  <si>
    <t>Automotive</t>
  </si>
  <si>
    <t>SOT-23-3</t>
  </si>
  <si>
    <t>ACTIVE</t>
  </si>
  <si>
    <t>Catalog</t>
  </si>
  <si>
    <t>SOT-23-3</t>
  </si>
  <si>
    <t>ACTIVE</t>
  </si>
  <si>
    <t>Automotive</t>
  </si>
  <si>
    <t>SC70-3</t>
  </si>
  <si>
    <t>ACTIVE</t>
  </si>
  <si>
    <t>Automotive</t>
  </si>
  <si>
    <t>SC70-3</t>
  </si>
  <si>
    <t>ACTIVE</t>
  </si>
  <si>
    <t>Automotive</t>
  </si>
  <si>
    <t>SC70-3</t>
  </si>
  <si>
    <t>ACTIVE</t>
  </si>
  <si>
    <t>Automotive</t>
  </si>
  <si>
    <t>SC70-3</t>
  </si>
  <si>
    <t>ACTIVE</t>
  </si>
  <si>
    <t>Automotive</t>
  </si>
  <si>
    <t>SC70-3</t>
  </si>
  <si>
    <t>ACTIVE</t>
  </si>
  <si>
    <t>Automotive</t>
  </si>
  <si>
    <t>SC70-3</t>
  </si>
  <si>
    <t>ACTIVE</t>
  </si>
  <si>
    <t>Catalog</t>
  </si>
  <si>
    <t>SC70-3</t>
  </si>
  <si>
    <t>ACTIVE</t>
  </si>
  <si>
    <t>Catalog</t>
  </si>
  <si>
    <t>SC70-3</t>
  </si>
  <si>
    <t>ACTIVE</t>
  </si>
  <si>
    <t>Catalog</t>
  </si>
  <si>
    <t>SC70-3</t>
  </si>
  <si>
    <t>ACTIVE</t>
  </si>
  <si>
    <t>Catalog</t>
  </si>
  <si>
    <t>SC70-3</t>
  </si>
  <si>
    <t>ACTIVE</t>
  </si>
  <si>
    <t>Catalog</t>
  </si>
  <si>
    <t>SC70-3</t>
  </si>
  <si>
    <t>ACTIVE</t>
  </si>
  <si>
    <t>Catalog</t>
  </si>
  <si>
    <t>SC70-3</t>
  </si>
  <si>
    <t>ACTIVE</t>
  </si>
  <si>
    <t>Automotive</t>
  </si>
  <si>
    <t>SC70-3</t>
  </si>
  <si>
    <t>ACTIVE</t>
  </si>
  <si>
    <t>Automotive</t>
  </si>
  <si>
    <t>SOT-23-3</t>
  </si>
  <si>
    <t>ACTIVE</t>
  </si>
  <si>
    <t>Automotive</t>
  </si>
  <si>
    <t>SC70-3</t>
  </si>
  <si>
    <t>ACTIVE</t>
  </si>
  <si>
    <t>Catalog</t>
  </si>
  <si>
    <t>SC70-3</t>
  </si>
  <si>
    <t>ACTIVE</t>
  </si>
  <si>
    <t>Catalog</t>
  </si>
  <si>
    <t>SC70-3</t>
  </si>
  <si>
    <t>ACTIVE</t>
  </si>
  <si>
    <t>Automotive</t>
  </si>
  <si>
    <t>SC70-3</t>
  </si>
  <si>
    <t>ACTIVE</t>
  </si>
  <si>
    <t>Catalog</t>
  </si>
  <si>
    <t>SC70-3</t>
  </si>
  <si>
    <t>ACTIVE</t>
  </si>
  <si>
    <t>Automotive</t>
  </si>
  <si>
    <t>SOT-23-3</t>
  </si>
  <si>
    <t>ACTIVE</t>
  </si>
  <si>
    <t>Automotive</t>
  </si>
  <si>
    <t>SOT-23-3</t>
  </si>
  <si>
    <t>ACTIVE</t>
  </si>
  <si>
    <t>Automotive</t>
  </si>
  <si>
    <t>SOT-23-3</t>
  </si>
  <si>
    <t>ACTIVE</t>
  </si>
  <si>
    <t>Automotive</t>
  </si>
  <si>
    <t>SOT-23-3</t>
  </si>
  <si>
    <t>ACTIVE</t>
  </si>
  <si>
    <t>Catalog</t>
  </si>
  <si>
    <t>SOT-23-3</t>
  </si>
  <si>
    <t>ACTIVE</t>
  </si>
  <si>
    <t>Catalog</t>
  </si>
  <si>
    <t>SOT-23-3</t>
  </si>
  <si>
    <t>ACTIVE</t>
  </si>
  <si>
    <t>Catalog</t>
  </si>
  <si>
    <t>SOT-23-3</t>
  </si>
  <si>
    <t>ACTIVE</t>
  </si>
  <si>
    <t>Catalog</t>
  </si>
  <si>
    <t>BZX84C10V</t>
  </si>
  <si>
    <t>BZX84C11V</t>
  </si>
  <si>
    <t>BZX84C12V</t>
  </si>
  <si>
    <t>BZX84C20V</t>
  </si>
  <si>
    <t>BZX84C22V</t>
  </si>
  <si>
    <t>BZX84C24V</t>
  </si>
  <si>
    <t>BZX84C30V</t>
  </si>
  <si>
    <t>BZX84C36V</t>
  </si>
  <si>
    <t>BZX84C20V-Q1</t>
  </si>
  <si>
    <t>BZX84C22V-Q1</t>
  </si>
  <si>
    <t>BZX84C30V-Q1</t>
  </si>
  <si>
    <t>BZX84C36V-Q1</t>
  </si>
  <si>
    <t>BZX84C3V3-Q1</t>
  </si>
  <si>
    <t>BZX84C3V3</t>
  </si>
  <si>
    <t>BZX84C5V1</t>
  </si>
  <si>
    <t>BZX84C5V1-Q1</t>
  </si>
  <si>
    <t>BZX84C6V2</t>
  </si>
  <si>
    <t>BZX84C6V2-Q1</t>
  </si>
  <si>
    <t>BZX84C7V5</t>
  </si>
  <si>
    <t>BZX84C7V5-Q1</t>
  </si>
  <si>
    <t>BZX84WC10V</t>
  </si>
  <si>
    <t>BZX84WC11V</t>
  </si>
  <si>
    <t>BZX84WC12V</t>
  </si>
  <si>
    <t>BZX84WC20V</t>
  </si>
  <si>
    <t>BZX84WC20V-Q1</t>
  </si>
  <si>
    <t>BZX84WC22V</t>
  </si>
  <si>
    <t>BZX84WC22V-Q1</t>
  </si>
  <si>
    <t>BZX84WC24V</t>
  </si>
  <si>
    <t>BZX84WC30V</t>
  </si>
  <si>
    <t>BZX84WC30V-Q1</t>
  </si>
  <si>
    <t>BZX84WC36V</t>
  </si>
  <si>
    <t>BZX84WC36V-Q1</t>
  </si>
  <si>
    <t>BZX84WC3V3</t>
  </si>
  <si>
    <t>BZX84WC3V3-Q1</t>
  </si>
  <si>
    <t>BZX84WC5V1</t>
  </si>
  <si>
    <t>BZX84WC5V1-Q1</t>
  </si>
  <si>
    <t>BZX84WC6V2</t>
  </si>
  <si>
    <t>BZX84WC6V2-Q1</t>
  </si>
  <si>
    <t>BZX84WC7V5</t>
  </si>
  <si>
    <t>BZX84WC7V5-Q1</t>
  </si>
  <si>
    <t>BZX84WC10V-Q1</t>
  </si>
  <si>
    <t>BZX84WC11V-Q1</t>
  </si>
  <si>
    <t>BZX84WC12V-Q1</t>
  </si>
  <si>
    <t>BZX84WC13V</t>
  </si>
  <si>
    <t>BZX84WC13V-Q1</t>
  </si>
  <si>
    <t>BZX84WC24V-Q1</t>
  </si>
  <si>
    <t>BZX884C10V</t>
  </si>
  <si>
    <t>BZX884C10V-Q1</t>
  </si>
  <si>
    <t>BZX884C11V</t>
  </si>
  <si>
    <t>BZX884C11V-Q1</t>
  </si>
  <si>
    <t>BZX884C12V</t>
  </si>
  <si>
    <t>BZX884C12V-Q1</t>
  </si>
  <si>
    <t>BZX884C13V</t>
  </si>
  <si>
    <t>BZX884C13V-Q1</t>
  </si>
  <si>
    <t>BZX884C20V</t>
  </si>
  <si>
    <t>BZX884C20V-Q1</t>
  </si>
  <si>
    <t>BZX884C22V</t>
  </si>
  <si>
    <t>BZX884C22V-Q1</t>
  </si>
  <si>
    <t>BZX884C7V5-Q1</t>
  </si>
  <si>
    <t>BZX884C7V5</t>
  </si>
  <si>
    <t>BZX884C6V2-Q1</t>
  </si>
  <si>
    <t>BZX884C6V2</t>
  </si>
  <si>
    <t>BZX884C5V1-Q1</t>
  </si>
  <si>
    <t>BZX884C5V1</t>
  </si>
  <si>
    <t>BZX884C3V3-Q1</t>
  </si>
  <si>
    <t>BZX884C3V3</t>
  </si>
  <si>
    <t>BZX884C36V-Q1</t>
  </si>
  <si>
    <t>BZX884C36V</t>
  </si>
  <si>
    <t>BZX884C30V-Q1</t>
  </si>
  <si>
    <t>BZX884C30V</t>
  </si>
  <si>
    <t>BZX884C24V-Q1</t>
  </si>
  <si>
    <t>BZX884C24V</t>
  </si>
  <si>
    <t>SZMM3Z10V</t>
  </si>
  <si>
    <t>SZMM3Z10V-Q1</t>
  </si>
  <si>
    <t>SZMM3Z11V-Q1</t>
  </si>
  <si>
    <t>SZMM3Z11V</t>
  </si>
  <si>
    <t>SZMM3Z13V</t>
  </si>
  <si>
    <t>SZMM3Z13V-Q1</t>
  </si>
  <si>
    <t>SZMM3Z15V</t>
  </si>
  <si>
    <t>SZMM3Z15V-Q1</t>
  </si>
  <si>
    <t>SZMM3Z16V</t>
  </si>
  <si>
    <t>SZMM3Z16V-Q1</t>
  </si>
  <si>
    <t>SZMM3Z18V</t>
  </si>
  <si>
    <t>SZMM3Z18V-Q1</t>
  </si>
  <si>
    <t>SZMM3Z20V</t>
  </si>
  <si>
    <t>SZMM3Z20V-Q1</t>
  </si>
  <si>
    <t>SZMM3Z22V</t>
  </si>
  <si>
    <t>SZMM3Z22V-Q1</t>
  </si>
  <si>
    <t>SZMM3Z24V</t>
  </si>
  <si>
    <t>SZMM3Z24V-Q1</t>
  </si>
  <si>
    <t>SZMM3Z27V</t>
  </si>
  <si>
    <t>SZMM3Z27V-Q1</t>
  </si>
  <si>
    <t>SZMM3Z30V-Q1</t>
  </si>
  <si>
    <t>SZMM3Z30V</t>
  </si>
  <si>
    <t>SZMM3Z33V</t>
  </si>
  <si>
    <t>SZMM3Z33V-Q1</t>
  </si>
  <si>
    <t>SZMM3Z36V</t>
  </si>
  <si>
    <t>SZMM3Z36V-Q1</t>
  </si>
  <si>
    <t>SZMM3Z39V</t>
  </si>
  <si>
    <t>SZMM3Z39V-Q1</t>
  </si>
  <si>
    <t>SZMM3Z3V3</t>
  </si>
  <si>
    <t>SZMM3Z3V3-Q1</t>
  </si>
  <si>
    <t>SZMM3Z5V1</t>
  </si>
  <si>
    <t>SZMM3Z5V1-Q1</t>
  </si>
  <si>
    <t>SZMM3Z5V6</t>
  </si>
  <si>
    <t>SZMM3Z5V6-Q1</t>
  </si>
  <si>
    <t>SZMM3Z6V2</t>
  </si>
  <si>
    <t>SZMM3Z6V2-Q1</t>
  </si>
  <si>
    <t>SZMM3Z6V8</t>
  </si>
  <si>
    <t>SZMM3Z6V8-Q1</t>
  </si>
  <si>
    <t>SZMM3Z7V5</t>
  </si>
  <si>
    <t>SZMM3Z7V5-Q1</t>
  </si>
  <si>
    <t>SZMM3Z8V2</t>
  </si>
  <si>
    <t>SZMM3Z8V2-Q1</t>
  </si>
  <si>
    <t>SZMM3Z9V1</t>
  </si>
  <si>
    <t>SZMM3Z9V1-Q1</t>
  </si>
  <si>
    <t>SZMM3Z12V</t>
  </si>
  <si>
    <t>SZMM3Z12V-Q1</t>
  </si>
  <si>
    <t>SOD323</t>
  </si>
  <si>
    <t>SZMM5Z10V</t>
  </si>
  <si>
    <t>SZMM5Z10V-Q1</t>
  </si>
  <si>
    <t>SZMM5Z11V</t>
  </si>
  <si>
    <t>SZMM5Z11V-Q1</t>
  </si>
  <si>
    <t>SZMM5Z12V</t>
  </si>
  <si>
    <t>SZMM5Z12V-Q1</t>
  </si>
  <si>
    <t>SZMM5Z13V</t>
  </si>
  <si>
    <t>SZMM5Z13V-Q1</t>
  </si>
  <si>
    <t>SZMM5Z15V</t>
  </si>
  <si>
    <t>SZMM5Z15V-Q1</t>
  </si>
  <si>
    <t>SZMM5Z16V</t>
  </si>
  <si>
    <t>SZMM5Z16V-Q1</t>
  </si>
  <si>
    <t>SZMM5Z18V</t>
  </si>
  <si>
    <t>SZMM5Z18V-Q1</t>
  </si>
  <si>
    <t>SZMM5Z20V</t>
  </si>
  <si>
    <t>SZMM5Z20V-Q1</t>
  </si>
  <si>
    <t>SZMM5Z22V</t>
  </si>
  <si>
    <t>SZMM5Z22V-Q1</t>
  </si>
  <si>
    <t>SZMM5Z24V</t>
  </si>
  <si>
    <t>SZMM5Z24V-Q1</t>
  </si>
  <si>
    <t>SZMM5Z27V</t>
  </si>
  <si>
    <t>SZMM5Z27V-Q1</t>
  </si>
  <si>
    <t>SZMM5Z30V</t>
  </si>
  <si>
    <t>SZMM5Z30V-Q1</t>
  </si>
  <si>
    <t>SZMM5Z33V</t>
  </si>
  <si>
    <t>SZMM5Z33V-Q1</t>
  </si>
  <si>
    <t>SZMM5Z36V</t>
  </si>
  <si>
    <t>SZMM5Z36V-Q1</t>
  </si>
  <si>
    <t>SZMM5Z39V</t>
  </si>
  <si>
    <t>SZMM5Z39V-Q1</t>
  </si>
  <si>
    <t>SZMM5Z3V3</t>
  </si>
  <si>
    <t>SZMM5Z3V3-Q1</t>
  </si>
  <si>
    <t>SZMM5Z5V1</t>
  </si>
  <si>
    <t>SZMM5Z5V1-Q1</t>
  </si>
  <si>
    <t>SZMM5Z5V6</t>
  </si>
  <si>
    <t>SZMM5Z5V6-Q1</t>
  </si>
  <si>
    <t>SZMM5Z6V2</t>
  </si>
  <si>
    <t>SZMM5Z6V2-Q1</t>
  </si>
  <si>
    <t>SZMM5Z6V8</t>
  </si>
  <si>
    <t>SZMM5Z6V8-Q1</t>
  </si>
  <si>
    <t>SZMM5Z7V5</t>
  </si>
  <si>
    <t>SZMM5Z7V5-Q1</t>
  </si>
  <si>
    <t>SZMM5Z8V2</t>
  </si>
  <si>
    <t>SZMM5Z8V2-Q1</t>
  </si>
  <si>
    <t>SZMM5Z9V1</t>
  </si>
  <si>
    <t>SZMM5Z9V1-Q1</t>
  </si>
  <si>
    <t>SOD523</t>
  </si>
  <si>
    <t>BZX84C13V</t>
  </si>
  <si>
    <t>BZX84C10V-Q1</t>
  </si>
  <si>
    <t>BZX84C11V-Q1</t>
  </si>
  <si>
    <t>BZX84C12V-Q1</t>
  </si>
  <si>
    <t>BZX84C13V-Q1</t>
  </si>
  <si>
    <t>BZX84C24V-Q1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</si>
</sst>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hadow/>
      <sz val="15"/>
      <color rgb="FF000000"/>
      <name val="Arial"/>
      <family val="2"/>
    </font>
    <font>
      <sz val="13"/>
      <color rgb="FF000000"/>
      <name val="Arial"/>
      <family val="2"/>
    </font>
    <font>
      <sz val="11"/>
      <color rgb="FF000000"/>
      <name val="Arial"/>
      <family val="2"/>
    </font>
    <font>
      <u/>
      <sz val="13"/>
      <color rgb="FF007C8C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CC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indent="1"/>
    </xf>
    <xf numFmtId="0" fontId="2" fillId="0" borderId="1" xfId="0" applyFont="1" applyBorder="1" applyAlignment="1">
      <alignment wrapText="1" inden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3" fillId="3" borderId="0" xfId="0" applyFont="1" applyFill="1"/>
    <xf numFmtId="0" fontId="1" fillId="2" borderId="1" xfId="0" applyFont="1" applyFill="1" applyBorder="1" applyAlignment="1">
      <alignment horizontal="center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2667000</xdr:colOff>
      <xdr:row>0</xdr:row>
      <xdr:rowOff>342900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822E6D20-D7BC-2841-A643-D49A6EF008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67000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241"/>
  <sheetViews>
    <sheetView tabSelected="1" topLeftCell="D240" zoomScale="98" workbookViewId="0">
      <selection activeCell="M236" sqref="M236"/>
    </sheetView>
  </sheetViews>
  <sheetFormatPr defaultColWidth="10.90625" defaultRowHeight="14.5" x14ac:dyDescent="0.35"/>
  <cols>
    <col min="1" max="13" width="43" customWidth="1"/>
  </cols>
  <sheetData>
    <row r="1" spans="1:16" ht="30" customHeight="1" x14ac:dyDescent="0.35"/>
    <row r="2" spans="1:16" ht="6.65" customHeight="1" x14ac:dyDescent="0.3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20" customHeight="1" x14ac:dyDescent="0.35"/>
    <row r="4" spans="1:16" ht="20" customHeight="1" x14ac:dyDescent="0.35">
      <c r="A4" s="7" t="s">
        <v>1</v>
      </c>
      <c r="B4" s="7"/>
    </row>
    <row r="5" spans="1:16" ht="20" customHeight="1" x14ac:dyDescent="0.35">
      <c r="A5" s="2" t="s">
        <v>2</v>
      </c>
      <c r="B5" s="2" t="s">
        <v>3</v>
      </c>
    </row>
    <row r="6" spans="1:16" ht="20" customHeight="1" x14ac:dyDescent="0.35">
      <c r="A6" s="2" t="s">
        <v>4</v>
      </c>
      <c r="B6" s="2" t="s">
        <v>5</v>
      </c>
    </row>
    <row r="7" spans="1:16" ht="20" customHeight="1" x14ac:dyDescent="0.35">
      <c r="A7" s="2" t="s">
        <v>6</v>
      </c>
      <c r="B7" s="2" t="s">
        <v>7</v>
      </c>
    </row>
    <row r="8" spans="1:16" ht="20" customHeight="1" x14ac:dyDescent="0.35">
      <c r="A8" s="2" t="s">
        <v>8</v>
      </c>
      <c r="B8" s="2" t="s">
        <v>9</v>
      </c>
    </row>
    <row r="9" spans="1:16" ht="20" customHeight="1" x14ac:dyDescent="0.35">
      <c r="A9" s="2" t="s">
        <v>8</v>
      </c>
      <c r="B9" s="2" t="s">
        <v>10</v>
      </c>
    </row>
    <row r="10" spans="1:16" ht="20" customHeight="1" x14ac:dyDescent="0.35"/>
    <row r="11" spans="1:16" ht="30" customHeight="1" x14ac:dyDescent="0.35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19</v>
      </c>
      <c r="J11" s="1" t="s">
        <v>20</v>
      </c>
      <c r="K11" s="1" t="s">
        <v>21</v>
      </c>
      <c r="L11" s="1" t="s">
        <v>22</v>
      </c>
      <c r="M11" s="1" t="s">
        <v>23</v>
      </c>
    </row>
    <row r="12" spans="1:16" ht="20" customHeight="1" x14ac:dyDescent="0.35">
      <c r="A12" s="4" t="str">
        <f>HYPERLINK("https://www.ti.com/product/BZX84C33V-Q1", "BZX84C33V-Q1")</f>
        <v>BZX84C33V-Q1</v>
      </c>
      <c r="B12" s="3">
        <v>33</v>
      </c>
      <c r="C12" s="4" t="str">
        <f>HYPERLINK("https://www.ti.com/lit/gpn/BZX84C33V-Q1", "PDF datasheet")</f>
        <v>PDF datasheet</v>
      </c>
      <c r="D12" s="4" t="str">
        <f>HYPERLINK("https://www.ti.com/document-viewer/BZX84C33V-Q1/datasheet", "HTML datasheet")</f>
        <v>HTML datasheet</v>
      </c>
      <c r="E12" s="3" t="s">
        <v>24</v>
      </c>
      <c r="F12" s="3">
        <v>0.43</v>
      </c>
      <c r="G12" s="3">
        <v>30</v>
      </c>
      <c r="H12" s="3">
        <v>3.5999999999999997E-2</v>
      </c>
      <c r="I12" s="3" t="s">
        <v>25</v>
      </c>
      <c r="J12" s="3">
        <v>30</v>
      </c>
      <c r="K12" s="3">
        <v>5</v>
      </c>
      <c r="L12" s="3">
        <v>1</v>
      </c>
      <c r="M12" s="3" t="s">
        <v>26</v>
      </c>
    </row>
    <row r="13" spans="1:16" ht="20" customHeight="1" x14ac:dyDescent="0.35">
      <c r="A13" s="4" t="str">
        <f>HYPERLINK("https://www.ti.com/product/BZX84WC33V", "BZX84WC33V")</f>
        <v>BZX84WC33V</v>
      </c>
      <c r="B13" s="3">
        <v>33</v>
      </c>
      <c r="C13" s="4" t="str">
        <f>HYPERLINK("https://www.ti.com/lit/gpn/BZX84WC33V", "PDF datasheet")</f>
        <v>PDF datasheet</v>
      </c>
      <c r="D13" s="4" t="str">
        <f>HYPERLINK("https://www.ti.com/document-viewer/BZX84WC33V/datasheet", "HTML datasheet")</f>
        <v>HTML datasheet</v>
      </c>
      <c r="E13" s="5" t="s">
        <v>124</v>
      </c>
      <c r="F13" s="3">
        <v>0.36</v>
      </c>
      <c r="G13" s="3">
        <v>30</v>
      </c>
      <c r="H13" s="3">
        <v>3.4000000000000002E-2</v>
      </c>
      <c r="I13" s="3" t="s">
        <v>27</v>
      </c>
      <c r="J13" s="3">
        <v>30</v>
      </c>
      <c r="K13" s="3">
        <v>5</v>
      </c>
      <c r="L13" s="3">
        <v>1</v>
      </c>
      <c r="M13" s="3" t="s">
        <v>28</v>
      </c>
    </row>
    <row r="14" spans="1:16" ht="20" customHeight="1" x14ac:dyDescent="0.35">
      <c r="A14" s="4" t="str">
        <f>HYPERLINK("https://www.ti.com/product/BZX84WC33V-Q1", "BZX84WC33V-Q1")</f>
        <v>BZX84WC33V-Q1</v>
      </c>
      <c r="B14" s="3">
        <v>33</v>
      </c>
      <c r="C14" s="4" t="str">
        <f>HYPERLINK("https://www.ti.com/lit/gpn/BZX84WC33V-Q1", "PDF datasheet")</f>
        <v>PDF datasheet</v>
      </c>
      <c r="D14" s="4" t="str">
        <f>HYPERLINK("https://www.ti.com/document-viewer/BZX84WC33V-Q1/datasheet", "HTML datasheet")</f>
        <v>HTML datasheet</v>
      </c>
      <c r="E14" s="3" t="s">
        <v>124</v>
      </c>
      <c r="F14" s="3">
        <v>0.36</v>
      </c>
      <c r="G14" s="3">
        <v>30</v>
      </c>
      <c r="H14" s="3">
        <v>4.1000000000000002E-2</v>
      </c>
      <c r="I14" s="3" t="s">
        <v>29</v>
      </c>
      <c r="J14" s="3">
        <v>30</v>
      </c>
      <c r="K14" s="3">
        <v>5</v>
      </c>
      <c r="L14" s="3">
        <v>1</v>
      </c>
      <c r="M14" s="3" t="s">
        <v>30</v>
      </c>
    </row>
    <row r="15" spans="1:16" ht="20" customHeight="1" x14ac:dyDescent="0.35">
      <c r="A15" s="4" t="str">
        <f>HYPERLINK("https://www.ti.com/product/BZX884C33V", "BZX884C33V")</f>
        <v>BZX884C33V</v>
      </c>
      <c r="B15" s="3">
        <v>33</v>
      </c>
      <c r="C15" s="4" t="str">
        <f>HYPERLINK("https://www.ti.com/lit/gpn/BZX884C33V", "PDF datasheet")</f>
        <v>PDF datasheet</v>
      </c>
      <c r="D15" s="4" t="str">
        <f>HYPERLINK("https://www.ti.com/document-viewer/BZX884C33V/datasheet", "HTML datasheet")</f>
        <v>HTML datasheet</v>
      </c>
      <c r="E15" s="3" t="s">
        <v>31</v>
      </c>
      <c r="F15" s="3">
        <v>0.25</v>
      </c>
      <c r="G15" s="3">
        <v>30</v>
      </c>
      <c r="H15" s="3">
        <v>2.5999999999999999E-2</v>
      </c>
      <c r="I15" s="3" t="s">
        <v>32</v>
      </c>
      <c r="J15" s="3">
        <v>30</v>
      </c>
      <c r="K15" s="3">
        <v>5</v>
      </c>
      <c r="L15" s="3">
        <v>1</v>
      </c>
      <c r="M15" s="3" t="s">
        <v>33</v>
      </c>
    </row>
    <row r="16" spans="1:16" ht="20" customHeight="1" x14ac:dyDescent="0.35">
      <c r="A16" s="4" t="str">
        <f>HYPERLINK("https://www.ti.com/product/BZX884C33V-Q1", "BZX884C33V-Q1")</f>
        <v>BZX884C33V-Q1</v>
      </c>
      <c r="B16" s="3">
        <v>33</v>
      </c>
      <c r="C16" s="4" t="str">
        <f>HYPERLINK("https://www.ti.com/lit/gpn/BZX884C33V-Q1", "PDF datasheet")</f>
        <v>PDF datasheet</v>
      </c>
      <c r="D16" s="4" t="str">
        <f>HYPERLINK("https://www.ti.com/document-viewer/BZX884C33V-Q1/datasheet", "HTML datasheet")</f>
        <v>HTML datasheet</v>
      </c>
      <c r="E16" s="3" t="s">
        <v>34</v>
      </c>
      <c r="F16" s="3">
        <v>0.25</v>
      </c>
      <c r="G16" s="3">
        <v>30</v>
      </c>
      <c r="H16" s="3">
        <v>3.2000000000000001E-2</v>
      </c>
      <c r="I16" s="3" t="s">
        <v>35</v>
      </c>
      <c r="J16" s="3">
        <v>30</v>
      </c>
      <c r="K16" s="3">
        <v>5</v>
      </c>
      <c r="L16" s="3">
        <v>1</v>
      </c>
      <c r="M16" s="3" t="s">
        <v>36</v>
      </c>
    </row>
    <row r="17" spans="1:13" ht="20" customHeight="1" x14ac:dyDescent="0.35">
      <c r="A17" s="4" t="str">
        <f>HYPERLINK("https://www.ti.com/product/BZX884C18V", "BZX884C18V")</f>
        <v>BZX884C18V</v>
      </c>
      <c r="B17" s="3">
        <v>18</v>
      </c>
      <c r="C17" s="4" t="str">
        <f>HYPERLINK("https://www.ti.com/lit/gpn/BZX884C18V", "PDF datasheet")</f>
        <v>PDF datasheet</v>
      </c>
      <c r="D17" s="4" t="str">
        <f>HYPERLINK("https://www.ti.com/document-viewer/BZX884C18V/datasheet", "HTML datasheet")</f>
        <v>HTML datasheet</v>
      </c>
      <c r="E17" s="3" t="s">
        <v>37</v>
      </c>
      <c r="F17" s="3">
        <v>0.25</v>
      </c>
      <c r="G17" s="3">
        <v>50</v>
      </c>
      <c r="H17" s="3">
        <v>2.5999999999999999E-2</v>
      </c>
      <c r="I17" s="3" t="s">
        <v>38</v>
      </c>
      <c r="J17" s="3">
        <v>70</v>
      </c>
      <c r="K17" s="3">
        <v>5</v>
      </c>
      <c r="L17" s="3">
        <v>1</v>
      </c>
      <c r="M17" s="3" t="s">
        <v>39</v>
      </c>
    </row>
    <row r="18" spans="1:13" ht="20" customHeight="1" x14ac:dyDescent="0.35">
      <c r="A18" s="4" t="str">
        <f>HYPERLINK("https://www.ti.com/product/BZX884C18V-Q1", "BZX884C18V-Q1")</f>
        <v>BZX884C18V-Q1</v>
      </c>
      <c r="B18" s="3">
        <v>18</v>
      </c>
      <c r="C18" s="4" t="str">
        <f>HYPERLINK("https://www.ti.com/lit/gpn/BZX884C18V-Q1", "PDF datasheet")</f>
        <v>PDF datasheet</v>
      </c>
      <c r="D18" s="4" t="str">
        <f>HYPERLINK("https://www.ti.com/document-viewer/BZX884C18V-Q1/datasheet", "HTML datasheet")</f>
        <v>HTML datasheet</v>
      </c>
      <c r="E18" s="3" t="s">
        <v>40</v>
      </c>
      <c r="F18" s="3">
        <v>0.25</v>
      </c>
      <c r="G18" s="3">
        <v>50</v>
      </c>
      <c r="H18" s="3">
        <v>3.2000000000000001E-2</v>
      </c>
      <c r="I18" s="3" t="s">
        <v>41</v>
      </c>
      <c r="J18" s="3">
        <v>70</v>
      </c>
      <c r="K18" s="3">
        <v>5</v>
      </c>
      <c r="L18" s="3">
        <v>1</v>
      </c>
      <c r="M18" s="3" t="s">
        <v>42</v>
      </c>
    </row>
    <row r="19" spans="1:13" ht="20" customHeight="1" x14ac:dyDescent="0.35">
      <c r="A19" s="4" t="str">
        <f>HYPERLINK("https://www.ti.com/product/BZX884C16V", "BZX884C16V")</f>
        <v>BZX884C16V</v>
      </c>
      <c r="B19" s="3">
        <v>16</v>
      </c>
      <c r="C19" s="4" t="str">
        <f>HYPERLINK("https://www.ti.com/lit/gpn/BZX884C16V", "PDF datasheet")</f>
        <v>PDF datasheet</v>
      </c>
      <c r="D19" s="4" t="str">
        <f>HYPERLINK("https://www.ti.com/document-viewer/BZX884C16V/datasheet", "HTML datasheet")</f>
        <v>HTML datasheet</v>
      </c>
      <c r="E19" s="3" t="s">
        <v>43</v>
      </c>
      <c r="F19" s="3">
        <v>0.25</v>
      </c>
      <c r="G19" s="3">
        <v>50</v>
      </c>
      <c r="H19" s="3">
        <v>2.5999999999999999E-2</v>
      </c>
      <c r="I19" s="3" t="s">
        <v>44</v>
      </c>
      <c r="J19" s="3">
        <v>75</v>
      </c>
      <c r="K19" s="3">
        <v>5</v>
      </c>
      <c r="L19" s="3">
        <v>1</v>
      </c>
      <c r="M19" s="3" t="s">
        <v>45</v>
      </c>
    </row>
    <row r="20" spans="1:13" ht="20" customHeight="1" x14ac:dyDescent="0.35">
      <c r="A20" s="4" t="str">
        <f>HYPERLINK("https://www.ti.com/product/BZX884C16V-Q1", "BZX884C16V-Q1")</f>
        <v>BZX884C16V-Q1</v>
      </c>
      <c r="B20" s="3">
        <v>16</v>
      </c>
      <c r="C20" s="4" t="str">
        <f>HYPERLINK("https://www.ti.com/lit/gpn/BZX884C16V-Q1", "PDF datasheet")</f>
        <v>PDF datasheet</v>
      </c>
      <c r="D20" s="4" t="str">
        <f>HYPERLINK("https://www.ti.com/document-viewer/BZX884C16V-Q1/datasheet", "HTML datasheet")</f>
        <v>HTML datasheet</v>
      </c>
      <c r="E20" s="3" t="s">
        <v>46</v>
      </c>
      <c r="F20" s="3">
        <v>0.25</v>
      </c>
      <c r="G20" s="3">
        <v>500</v>
      </c>
      <c r="H20" s="3">
        <v>3.2000000000000001E-2</v>
      </c>
      <c r="I20" s="3" t="s">
        <v>47</v>
      </c>
      <c r="J20" s="3">
        <v>75</v>
      </c>
      <c r="K20" s="3">
        <v>5</v>
      </c>
      <c r="L20" s="3">
        <v>1</v>
      </c>
      <c r="M20" s="3" t="s">
        <v>48</v>
      </c>
    </row>
    <row r="21" spans="1:13" ht="20" customHeight="1" x14ac:dyDescent="0.35">
      <c r="A21" s="4" t="str">
        <f>HYPERLINK("https://www.ti.com/product/BZX884C27V", "BZX884C27V")</f>
        <v>BZX884C27V</v>
      </c>
      <c r="B21" s="3">
        <v>27</v>
      </c>
      <c r="C21" s="4" t="str">
        <f>HYPERLINK("https://www.ti.com/lit/gpn/BZX884C27V", "PDF datasheet")</f>
        <v>PDF datasheet</v>
      </c>
      <c r="D21" s="4" t="str">
        <f>HYPERLINK("https://www.ti.com/document-viewer/BZX884C27V/datasheet", "HTML datasheet")</f>
        <v>HTML datasheet</v>
      </c>
      <c r="E21" s="3" t="s">
        <v>49</v>
      </c>
      <c r="F21" s="3">
        <v>0.25</v>
      </c>
      <c r="G21" s="3">
        <v>30</v>
      </c>
      <c r="H21" s="3">
        <v>2.5999999999999999E-2</v>
      </c>
      <c r="I21" s="3" t="s">
        <v>50</v>
      </c>
      <c r="J21" s="3">
        <v>35</v>
      </c>
      <c r="K21" s="3">
        <v>5</v>
      </c>
      <c r="L21" s="3">
        <v>1</v>
      </c>
      <c r="M21" s="3" t="s">
        <v>51</v>
      </c>
    </row>
    <row r="22" spans="1:13" ht="20" customHeight="1" x14ac:dyDescent="0.35">
      <c r="A22" s="4" t="str">
        <f>HYPERLINK("https://www.ti.com/product/BZX884C27V-Q1", "BZX884C27V-Q1")</f>
        <v>BZX884C27V-Q1</v>
      </c>
      <c r="B22" s="3">
        <v>27</v>
      </c>
      <c r="C22" s="4" t="str">
        <f>HYPERLINK("https://www.ti.com/lit/gpn/BZX884C27V-Q1", "PDF datasheet")</f>
        <v>PDF datasheet</v>
      </c>
      <c r="D22" s="4" t="str">
        <f>HYPERLINK("https://www.ti.com/document-viewer/BZX884C27V-Q1/datasheet", "HTML datasheet")</f>
        <v>HTML datasheet</v>
      </c>
      <c r="E22" s="3" t="s">
        <v>52</v>
      </c>
      <c r="F22" s="3">
        <v>0.25</v>
      </c>
      <c r="G22" s="3">
        <v>30</v>
      </c>
      <c r="H22" s="3">
        <v>3.2000000000000001E-2</v>
      </c>
      <c r="I22" s="3" t="s">
        <v>53</v>
      </c>
      <c r="J22" s="3">
        <v>35</v>
      </c>
      <c r="K22" s="3">
        <v>5</v>
      </c>
      <c r="L22" s="3">
        <v>1</v>
      </c>
      <c r="M22" s="3" t="s">
        <v>54</v>
      </c>
    </row>
    <row r="23" spans="1:13" ht="20" customHeight="1" x14ac:dyDescent="0.35">
      <c r="A23" s="4" t="str">
        <f>HYPERLINK("https://www.ti.com/product/BZX884C39V", "BZX884C39V")</f>
        <v>BZX884C39V</v>
      </c>
      <c r="B23" s="3">
        <v>39</v>
      </c>
      <c r="C23" s="4" t="str">
        <f>HYPERLINK("https://www.ti.com/lit/gpn/BZX884C39V", "PDF datasheet")</f>
        <v>PDF datasheet</v>
      </c>
      <c r="D23" s="4" t="str">
        <f>HYPERLINK("https://www.ti.com/document-viewer/BZX884C39V/datasheet", "HTML datasheet")</f>
        <v>HTML datasheet</v>
      </c>
      <c r="E23" s="3" t="s">
        <v>55</v>
      </c>
      <c r="F23" s="3">
        <v>0.25</v>
      </c>
      <c r="G23" s="3">
        <v>500</v>
      </c>
      <c r="H23" s="3">
        <v>2.5999999999999999E-2</v>
      </c>
      <c r="I23" s="3" t="s">
        <v>56</v>
      </c>
      <c r="J23" s="3">
        <v>25</v>
      </c>
      <c r="K23" s="3">
        <v>5</v>
      </c>
      <c r="L23" s="3">
        <v>1</v>
      </c>
      <c r="M23" s="3" t="s">
        <v>57</v>
      </c>
    </row>
    <row r="24" spans="1:13" ht="20" customHeight="1" x14ac:dyDescent="0.35">
      <c r="A24" s="4" t="str">
        <f>HYPERLINK("https://www.ti.com/product/BZX884C39V-Q1", "BZX884C39V-Q1")</f>
        <v>BZX884C39V-Q1</v>
      </c>
      <c r="B24" s="3">
        <v>39</v>
      </c>
      <c r="C24" s="4" t="str">
        <f>HYPERLINK("https://www.ti.com/lit/gpn/BZX884C39V-Q1", "PDF datasheet")</f>
        <v>PDF datasheet</v>
      </c>
      <c r="D24" s="4" t="str">
        <f>HYPERLINK("https://www.ti.com/document-viewer/BZX884C39V-Q1/datasheet", "HTML datasheet")</f>
        <v>HTML datasheet</v>
      </c>
      <c r="E24" s="3" t="s">
        <v>58</v>
      </c>
      <c r="F24" s="3">
        <v>0.25</v>
      </c>
      <c r="G24" s="3">
        <v>500</v>
      </c>
      <c r="H24" s="3">
        <v>3.2000000000000001E-2</v>
      </c>
      <c r="I24" s="3" t="s">
        <v>59</v>
      </c>
      <c r="J24" s="3">
        <v>25</v>
      </c>
      <c r="K24" s="3">
        <v>5</v>
      </c>
      <c r="L24" s="3">
        <v>1</v>
      </c>
      <c r="M24" s="3" t="s">
        <v>60</v>
      </c>
    </row>
    <row r="25" spans="1:13" ht="20" customHeight="1" x14ac:dyDescent="0.35">
      <c r="A25" s="4" t="str">
        <f>HYPERLINK("https://www.ti.com/product/BZX884C15V", "BZX884C15V")</f>
        <v>BZX884C15V</v>
      </c>
      <c r="B25" s="3">
        <v>15</v>
      </c>
      <c r="C25" s="4" t="str">
        <f>HYPERLINK("https://www.ti.com/lit/gpn/BZX884C15V", "PDF datasheet")</f>
        <v>PDF datasheet</v>
      </c>
      <c r="D25" s="4" t="str">
        <f>HYPERLINK("https://www.ti.com/document-viewer/BZX884C15V/datasheet", "HTML datasheet")</f>
        <v>HTML datasheet</v>
      </c>
      <c r="E25" s="3" t="s">
        <v>61</v>
      </c>
      <c r="F25" s="3">
        <v>0.25</v>
      </c>
      <c r="G25" s="3">
        <v>500</v>
      </c>
      <c r="H25" s="3">
        <v>2.5999999999999999E-2</v>
      </c>
      <c r="I25" s="3" t="s">
        <v>62</v>
      </c>
      <c r="J25" s="3">
        <v>68</v>
      </c>
      <c r="K25" s="3">
        <v>5</v>
      </c>
      <c r="L25" s="3">
        <v>1</v>
      </c>
      <c r="M25" s="3" t="s">
        <v>63</v>
      </c>
    </row>
    <row r="26" spans="1:13" ht="20" customHeight="1" x14ac:dyDescent="0.35">
      <c r="A26" s="4" t="str">
        <f>HYPERLINK("https://www.ti.com/product/BZX884C15V-Q1", "BZX884C15V-Q1")</f>
        <v>BZX884C15V-Q1</v>
      </c>
      <c r="B26" s="3">
        <v>15</v>
      </c>
      <c r="C26" s="4" t="str">
        <f>HYPERLINK("https://www.ti.com/lit/gpn/BZX884C15V-Q1", "PDF datasheet")</f>
        <v>PDF datasheet</v>
      </c>
      <c r="D26" s="4" t="str">
        <f>HYPERLINK("https://www.ti.com/document-viewer/BZX884C15V-Q1/datasheet", "HTML datasheet")</f>
        <v>HTML datasheet</v>
      </c>
      <c r="E26" s="3" t="s">
        <v>64</v>
      </c>
      <c r="F26" s="3">
        <v>0.25</v>
      </c>
      <c r="G26" s="3">
        <v>500</v>
      </c>
      <c r="H26" s="3">
        <v>3.2000000000000001E-2</v>
      </c>
      <c r="I26" s="3" t="s">
        <v>65</v>
      </c>
      <c r="J26" s="3">
        <v>68</v>
      </c>
      <c r="K26" s="3">
        <v>5</v>
      </c>
      <c r="L26" s="3">
        <v>1</v>
      </c>
      <c r="M26" s="3" t="s">
        <v>66</v>
      </c>
    </row>
    <row r="27" spans="1:13" ht="20" customHeight="1" x14ac:dyDescent="0.35">
      <c r="A27" s="4" t="str">
        <f>HYPERLINK("https://www.ti.com/product/BZX84C33V", "BZX84C33V")</f>
        <v>BZX84C33V</v>
      </c>
      <c r="B27" s="3">
        <v>33</v>
      </c>
      <c r="C27" s="4" t="str">
        <f>HYPERLINK("https://www.ti.com/lit/gpn/BZX84C33V", "PDF datasheet")</f>
        <v>PDF datasheet</v>
      </c>
      <c r="D27" s="4" t="str">
        <f>HYPERLINK("https://www.ti.com/document-viewer/BZX84C33V/datasheet", "HTML datasheet")</f>
        <v>HTML datasheet</v>
      </c>
      <c r="E27" s="3" t="s">
        <v>67</v>
      </c>
      <c r="F27" s="3">
        <v>0.43</v>
      </c>
      <c r="G27" s="3">
        <v>30</v>
      </c>
      <c r="H27" s="3">
        <v>0.03</v>
      </c>
      <c r="I27" s="3" t="s">
        <v>68</v>
      </c>
      <c r="J27" s="3">
        <v>30</v>
      </c>
      <c r="K27" s="3">
        <v>5</v>
      </c>
      <c r="L27" s="3">
        <v>1</v>
      </c>
      <c r="M27" s="3" t="s">
        <v>69</v>
      </c>
    </row>
    <row r="28" spans="1:13" ht="20" customHeight="1" x14ac:dyDescent="0.35">
      <c r="A28" s="4" t="str">
        <f>HYPERLINK("https://www.ti.com/product/BZX884C5V6", "BZX884C5V6")</f>
        <v>BZX884C5V6</v>
      </c>
      <c r="B28" s="3">
        <v>5.6</v>
      </c>
      <c r="C28" s="4" t="str">
        <f>HYPERLINK("https://www.ti.com/lit/gpn/BZX884C5V6", "PDF datasheet")</f>
        <v>PDF datasheet</v>
      </c>
      <c r="D28" s="4" t="str">
        <f>HYPERLINK("https://www.ti.com/document-viewer/BZX884C5V6/datasheet", "HTML datasheet")</f>
        <v>HTML datasheet</v>
      </c>
      <c r="E28" s="3" t="s">
        <v>70</v>
      </c>
      <c r="F28" s="3">
        <v>0.25</v>
      </c>
      <c r="G28" s="3">
        <v>1000</v>
      </c>
      <c r="H28" s="3">
        <v>2.5999999999999999E-2</v>
      </c>
      <c r="I28" s="3" t="s">
        <v>71</v>
      </c>
      <c r="J28" s="3">
        <v>300</v>
      </c>
      <c r="K28" s="3">
        <v>5</v>
      </c>
      <c r="L28" s="3">
        <v>1</v>
      </c>
      <c r="M28" s="3" t="s">
        <v>72</v>
      </c>
    </row>
    <row r="29" spans="1:13" ht="20" customHeight="1" x14ac:dyDescent="0.35">
      <c r="A29" s="4" t="str">
        <f>HYPERLINK("https://www.ti.com/product/BZX884C5V6-Q1", "BZX884C5V6-Q1")</f>
        <v>BZX884C5V6-Q1</v>
      </c>
      <c r="B29" s="3">
        <v>5.6</v>
      </c>
      <c r="C29" s="4" t="str">
        <f>HYPERLINK("https://www.ti.com/lit/gpn/BZX884C5V6-Q1", "PDF datasheet")</f>
        <v>PDF datasheet</v>
      </c>
      <c r="D29" s="4" t="str">
        <f>HYPERLINK("https://www.ti.com/document-viewer/BZX884C5V6-Q1/datasheet", "HTML datasheet")</f>
        <v>HTML datasheet</v>
      </c>
      <c r="E29" s="3" t="s">
        <v>73</v>
      </c>
      <c r="F29" s="3">
        <v>0.25</v>
      </c>
      <c r="G29" s="3">
        <v>1000</v>
      </c>
      <c r="H29" s="3">
        <v>3.2000000000000001E-2</v>
      </c>
      <c r="I29" s="3" t="s">
        <v>74</v>
      </c>
      <c r="J29" s="3">
        <v>300</v>
      </c>
      <c r="K29" s="3">
        <v>5</v>
      </c>
      <c r="L29" s="3">
        <v>1</v>
      </c>
      <c r="M29" s="3" t="s">
        <v>75</v>
      </c>
    </row>
    <row r="30" spans="1:13" ht="20" customHeight="1" x14ac:dyDescent="0.35">
      <c r="A30" s="4" t="str">
        <f>HYPERLINK("https://www.ti.com/product/BZX884C6V8", "BZX884C6V8")</f>
        <v>BZX884C6V8</v>
      </c>
      <c r="B30" s="3">
        <v>6.8</v>
      </c>
      <c r="C30" s="4" t="str">
        <f>HYPERLINK("https://www.ti.com/lit/gpn/BZX884C6V8", "PDF datasheet")</f>
        <v>PDF datasheet</v>
      </c>
      <c r="D30" s="4" t="str">
        <f>HYPERLINK("https://www.ti.com/document-viewer/BZX884C6V8/datasheet", "HTML datasheet")</f>
        <v>HTML datasheet</v>
      </c>
      <c r="E30" s="3" t="s">
        <v>76</v>
      </c>
      <c r="F30" s="3">
        <v>0.25</v>
      </c>
      <c r="G30" s="3">
        <v>1000</v>
      </c>
      <c r="H30" s="3">
        <v>2.5999999999999999E-2</v>
      </c>
      <c r="I30" s="3" t="s">
        <v>77</v>
      </c>
      <c r="J30" s="3">
        <v>200</v>
      </c>
      <c r="K30" s="3">
        <v>5</v>
      </c>
      <c r="L30" s="3">
        <v>1</v>
      </c>
      <c r="M30" s="3" t="s">
        <v>78</v>
      </c>
    </row>
    <row r="31" spans="1:13" ht="20" customHeight="1" x14ac:dyDescent="0.35">
      <c r="A31" s="4" t="str">
        <f>HYPERLINK("https://www.ti.com/product/BZX884C6V8-Q1", "BZX884C6V8-Q1")</f>
        <v>BZX884C6V8-Q1</v>
      </c>
      <c r="B31" s="3">
        <v>6.8</v>
      </c>
      <c r="C31" s="4" t="str">
        <f>HYPERLINK("https://www.ti.com/lit/gpn/BZX884C6V8-Q1", "PDF datasheet")</f>
        <v>PDF datasheet</v>
      </c>
      <c r="D31" s="4" t="str">
        <f>HYPERLINK("https://www.ti.com/document-viewer/BZX884C6V8-Q1/datasheet", "HTML datasheet")</f>
        <v>HTML datasheet</v>
      </c>
      <c r="E31" s="3" t="s">
        <v>79</v>
      </c>
      <c r="F31" s="3">
        <v>0.25</v>
      </c>
      <c r="G31" s="3">
        <v>1000</v>
      </c>
      <c r="H31" s="3">
        <v>3.2000000000000001E-2</v>
      </c>
      <c r="I31" s="3" t="s">
        <v>80</v>
      </c>
      <c r="J31" s="3">
        <v>200</v>
      </c>
      <c r="K31" s="3">
        <v>5</v>
      </c>
      <c r="L31" s="3">
        <v>1</v>
      </c>
      <c r="M31" s="3" t="s">
        <v>81</v>
      </c>
    </row>
    <row r="32" spans="1:13" ht="20" customHeight="1" x14ac:dyDescent="0.35">
      <c r="A32" s="4" t="str">
        <f>HYPERLINK("https://www.ti.com/product/BZX884C8V2", "BZX884C8V2")</f>
        <v>BZX884C8V2</v>
      </c>
      <c r="B32" s="3">
        <v>8.1999999999999993</v>
      </c>
      <c r="C32" s="4" t="str">
        <f>HYPERLINK("https://www.ti.com/lit/gpn/BZX884C8V2", "PDF datasheet")</f>
        <v>PDF datasheet</v>
      </c>
      <c r="D32" s="4" t="str">
        <f>HYPERLINK("https://www.ti.com/document-viewer/BZX884C8V2/datasheet", "HTML datasheet")</f>
        <v>HTML datasheet</v>
      </c>
      <c r="E32" s="3" t="s">
        <v>82</v>
      </c>
      <c r="F32" s="3">
        <v>0.43</v>
      </c>
      <c r="G32" s="3">
        <v>500</v>
      </c>
      <c r="H32" s="3">
        <v>2.5999999999999999E-2</v>
      </c>
      <c r="I32" s="3" t="s">
        <v>83</v>
      </c>
      <c r="J32" s="3">
        <v>80</v>
      </c>
      <c r="K32" s="3">
        <v>5</v>
      </c>
      <c r="L32" s="3">
        <v>1</v>
      </c>
      <c r="M32" s="3" t="s">
        <v>84</v>
      </c>
    </row>
    <row r="33" spans="1:13" ht="20" customHeight="1" x14ac:dyDescent="0.35">
      <c r="A33" s="4" t="str">
        <f>HYPERLINK("https://www.ti.com/product/BZX884C8V2-Q1", "BZX884C8V2-Q1")</f>
        <v>BZX884C8V2-Q1</v>
      </c>
      <c r="B33" s="3">
        <v>8.1999999999999993</v>
      </c>
      <c r="C33" s="4" t="str">
        <f>HYPERLINK("https://www.ti.com/lit/gpn/BZX884C8V2-Q1", "PDF datasheet")</f>
        <v>PDF datasheet</v>
      </c>
      <c r="D33" s="4" t="str">
        <f>HYPERLINK("https://www.ti.com/document-viewer/BZX884C8V2-Q1/datasheet", "HTML datasheet")</f>
        <v>HTML datasheet</v>
      </c>
      <c r="E33" s="3" t="s">
        <v>85</v>
      </c>
      <c r="F33" s="3">
        <v>0.25</v>
      </c>
      <c r="G33" s="3">
        <v>500</v>
      </c>
      <c r="H33" s="3">
        <v>3.2000000000000001E-2</v>
      </c>
      <c r="I33" s="3" t="s">
        <v>86</v>
      </c>
      <c r="J33" s="3">
        <v>80</v>
      </c>
      <c r="K33" s="3">
        <v>5</v>
      </c>
      <c r="L33" s="3">
        <v>1</v>
      </c>
      <c r="M33" s="3" t="s">
        <v>87</v>
      </c>
    </row>
    <row r="34" spans="1:13" ht="20" customHeight="1" x14ac:dyDescent="0.35">
      <c r="A34" s="4" t="str">
        <f>HYPERLINK("https://www.ti.com/product/BZX884C9V1", "BZX884C9V1")</f>
        <v>BZX884C9V1</v>
      </c>
      <c r="B34" s="3">
        <v>9.1</v>
      </c>
      <c r="C34" s="4" t="str">
        <f>HYPERLINK("https://www.ti.com/lit/gpn/BZX884C9V1", "PDF datasheet")</f>
        <v>PDF datasheet</v>
      </c>
      <c r="D34" s="4" t="str">
        <f>HYPERLINK("https://www.ti.com/document-viewer/BZX884C9V1/datasheet", "HTML datasheet")</f>
        <v>HTML datasheet</v>
      </c>
      <c r="E34" s="3" t="s">
        <v>88</v>
      </c>
      <c r="F34" s="3">
        <v>0.25</v>
      </c>
      <c r="G34" s="3">
        <v>500</v>
      </c>
      <c r="H34" s="3">
        <v>2.5999999999999999E-2</v>
      </c>
      <c r="I34" s="3" t="s">
        <v>89</v>
      </c>
      <c r="J34" s="3">
        <v>150</v>
      </c>
      <c r="K34" s="3">
        <v>5</v>
      </c>
      <c r="L34" s="3">
        <v>1</v>
      </c>
      <c r="M34" s="3" t="s">
        <v>90</v>
      </c>
    </row>
    <row r="35" spans="1:13" ht="20" customHeight="1" x14ac:dyDescent="0.35">
      <c r="A35" s="4" t="str">
        <f>HYPERLINK("https://www.ti.com/product/BZX884C9V1-Q1", "BZX884C9V1-Q1")</f>
        <v>BZX884C9V1-Q1</v>
      </c>
      <c r="B35" s="3">
        <v>9.1</v>
      </c>
      <c r="C35" s="4" t="str">
        <f>HYPERLINK("https://www.ti.com/lit/gpn/BZX884C9V1-Q1", "PDF datasheet")</f>
        <v>PDF datasheet</v>
      </c>
      <c r="D35" s="4" t="str">
        <f>HYPERLINK("https://www.ti.com/document-viewer/BZX884C9V1-Q1/datasheet", "HTML datasheet")</f>
        <v>HTML datasheet</v>
      </c>
      <c r="E35" s="3" t="s">
        <v>91</v>
      </c>
      <c r="F35" s="3">
        <v>0.25</v>
      </c>
      <c r="G35" s="3">
        <v>500</v>
      </c>
      <c r="H35" s="3">
        <v>3.2000000000000001E-2</v>
      </c>
      <c r="I35" s="3" t="s">
        <v>92</v>
      </c>
      <c r="J35" s="3">
        <v>150</v>
      </c>
      <c r="K35" s="3">
        <v>5</v>
      </c>
      <c r="L35" s="3">
        <v>1</v>
      </c>
      <c r="M35" s="3" t="s">
        <v>93</v>
      </c>
    </row>
    <row r="36" spans="1:13" ht="20" customHeight="1" x14ac:dyDescent="0.35">
      <c r="A36" s="4" t="str">
        <f>HYPERLINK("https://www.ti.com/product/BZX84C16V", "BZX84C16V")</f>
        <v>BZX84C16V</v>
      </c>
      <c r="B36" s="3">
        <v>16</v>
      </c>
      <c r="C36" s="4" t="str">
        <f>HYPERLINK("https://www.ti.com/lit/gpn/BZX84C16V", "PDF datasheet")</f>
        <v>PDF datasheet</v>
      </c>
      <c r="D36" s="4" t="str">
        <f>HYPERLINK("https://www.ti.com/document-viewer/BZX84C16V/datasheet", "HTML datasheet")</f>
        <v>HTML datasheet</v>
      </c>
      <c r="E36" s="3" t="s">
        <v>94</v>
      </c>
      <c r="F36" s="3">
        <v>0.43</v>
      </c>
      <c r="G36" s="3">
        <v>50</v>
      </c>
      <c r="H36" s="3">
        <v>0.03</v>
      </c>
      <c r="I36" s="3" t="s">
        <v>95</v>
      </c>
      <c r="J36" s="3">
        <v>75</v>
      </c>
      <c r="K36" s="3">
        <v>5</v>
      </c>
      <c r="L36" s="3">
        <v>1</v>
      </c>
      <c r="M36" s="3" t="s">
        <v>96</v>
      </c>
    </row>
    <row r="37" spans="1:13" ht="20" customHeight="1" x14ac:dyDescent="0.35">
      <c r="A37" s="4" t="str">
        <f>HYPERLINK("https://www.ti.com/product/BZX84C16V-Q1", "BZX84C16V-Q1")</f>
        <v>BZX84C16V-Q1</v>
      </c>
      <c r="B37" s="3">
        <v>16</v>
      </c>
      <c r="C37" s="4" t="str">
        <f>HYPERLINK("https://www.ti.com/lit/gpn/BZX84C16V-Q1", "PDF datasheet")</f>
        <v>PDF datasheet</v>
      </c>
      <c r="D37" s="4" t="str">
        <f>HYPERLINK("https://www.ti.com/document-viewer/BZX84C16V-Q1/datasheet", "HTML datasheet")</f>
        <v>HTML datasheet</v>
      </c>
      <c r="E37" s="3" t="s">
        <v>97</v>
      </c>
      <c r="F37" s="3">
        <v>0.43</v>
      </c>
      <c r="G37" s="3">
        <v>50</v>
      </c>
      <c r="H37" s="3">
        <v>3.5999999999999997E-2</v>
      </c>
      <c r="I37" s="3" t="s">
        <v>98</v>
      </c>
      <c r="J37" s="3">
        <v>75</v>
      </c>
      <c r="K37" s="3">
        <v>5</v>
      </c>
      <c r="L37" s="3">
        <v>1</v>
      </c>
      <c r="M37" s="3" t="s">
        <v>99</v>
      </c>
    </row>
    <row r="38" spans="1:13" ht="20" customHeight="1" x14ac:dyDescent="0.35">
      <c r="A38" s="4" t="str">
        <f>HYPERLINK("https://www.ti.com/product/BZX84C18V", "BZX84C18V")</f>
        <v>BZX84C18V</v>
      </c>
      <c r="B38" s="3">
        <v>18</v>
      </c>
      <c r="C38" s="4" t="str">
        <f>HYPERLINK("https://www.ti.com/lit/gpn/BZX84C18V", "PDF datasheet")</f>
        <v>PDF datasheet</v>
      </c>
      <c r="D38" s="4" t="str">
        <f>HYPERLINK("https://www.ti.com/document-viewer/BZX84C18V/datasheet", "HTML datasheet")</f>
        <v>HTML datasheet</v>
      </c>
      <c r="E38" s="3" t="s">
        <v>100</v>
      </c>
      <c r="F38" s="3">
        <v>0.43</v>
      </c>
      <c r="G38" s="3">
        <v>50</v>
      </c>
      <c r="H38" s="3">
        <v>0.03</v>
      </c>
      <c r="I38" s="3" t="s">
        <v>101</v>
      </c>
      <c r="J38" s="3">
        <v>70</v>
      </c>
      <c r="K38" s="3">
        <v>5</v>
      </c>
      <c r="L38" s="3">
        <v>1</v>
      </c>
      <c r="M38" s="3" t="s">
        <v>102</v>
      </c>
    </row>
    <row r="39" spans="1:13" ht="20" customHeight="1" x14ac:dyDescent="0.35">
      <c r="A39" s="4" t="str">
        <f>HYPERLINK("https://www.ti.com/product/BZX84C18V-Q1", "BZX84C18V-Q1")</f>
        <v>BZX84C18V-Q1</v>
      </c>
      <c r="B39" s="3">
        <v>18</v>
      </c>
      <c r="C39" s="4" t="str">
        <f>HYPERLINK("https://www.ti.com/lit/gpn/BZX84C18V-Q1", "PDF datasheet")</f>
        <v>PDF datasheet</v>
      </c>
      <c r="D39" s="4" t="str">
        <f>HYPERLINK("https://www.ti.com/document-viewer/BZX84C18V-Q1/datasheet", "HTML datasheet")</f>
        <v>HTML datasheet</v>
      </c>
      <c r="E39" s="3" t="s">
        <v>103</v>
      </c>
      <c r="F39" s="3">
        <v>0.43</v>
      </c>
      <c r="G39" s="3">
        <v>50</v>
      </c>
      <c r="H39" s="3">
        <v>3.5999999999999997E-2</v>
      </c>
      <c r="I39" s="3" t="s">
        <v>104</v>
      </c>
      <c r="J39" s="3">
        <v>70</v>
      </c>
      <c r="K39" s="3">
        <v>5</v>
      </c>
      <c r="L39" s="3">
        <v>1</v>
      </c>
      <c r="M39" s="3" t="s">
        <v>105</v>
      </c>
    </row>
    <row r="40" spans="1:13" ht="20" customHeight="1" x14ac:dyDescent="0.35">
      <c r="A40" s="4" t="str">
        <f>HYPERLINK("https://www.ti.com/product/BZX84C5V6", "BZX84C5V6")</f>
        <v>BZX84C5V6</v>
      </c>
      <c r="B40" s="3">
        <v>5.6</v>
      </c>
      <c r="C40" s="4" t="str">
        <f>HYPERLINK("https://www.ti.com/lit/gpn/BZX84C5V6", "PDF datasheet")</f>
        <v>PDF datasheet</v>
      </c>
      <c r="D40" s="4" t="str">
        <f>HYPERLINK("https://www.ti.com/document-viewer/BZX84C5V6/datasheet", "HTML datasheet")</f>
        <v>HTML datasheet</v>
      </c>
      <c r="E40" s="3" t="s">
        <v>106</v>
      </c>
      <c r="F40" s="3">
        <v>0.43</v>
      </c>
      <c r="G40" s="3">
        <v>1000</v>
      </c>
      <c r="H40" s="3">
        <v>0.03</v>
      </c>
      <c r="I40" s="3" t="s">
        <v>107</v>
      </c>
      <c r="J40" s="3">
        <v>300</v>
      </c>
      <c r="K40" s="3">
        <v>5</v>
      </c>
      <c r="L40" s="3">
        <v>1</v>
      </c>
      <c r="M40" s="3" t="s">
        <v>108</v>
      </c>
    </row>
    <row r="41" spans="1:13" ht="20" customHeight="1" x14ac:dyDescent="0.35">
      <c r="A41" s="4" t="str">
        <f>HYPERLINK("https://www.ti.com/product/BZX84C5V6-Q1", "BZX84C5V6-Q1")</f>
        <v>BZX84C5V6-Q1</v>
      </c>
      <c r="B41" s="3">
        <v>5.6</v>
      </c>
      <c r="C41" s="4" t="str">
        <f>HYPERLINK("https://www.ti.com/lit/gpn/BZX84C5V6-Q1", "PDF datasheet")</f>
        <v>PDF datasheet</v>
      </c>
      <c r="D41" s="4" t="str">
        <f>HYPERLINK("https://www.ti.com/document-viewer/BZX84C5V6-Q1/datasheet", "HTML datasheet")</f>
        <v>HTML datasheet</v>
      </c>
      <c r="E41" s="3" t="s">
        <v>109</v>
      </c>
      <c r="F41" s="3">
        <v>0.43</v>
      </c>
      <c r="G41" s="3">
        <v>1000</v>
      </c>
      <c r="H41" s="3">
        <v>3.5999999999999997E-2</v>
      </c>
      <c r="I41" s="3" t="s">
        <v>110</v>
      </c>
      <c r="J41" s="3">
        <v>300</v>
      </c>
      <c r="K41" s="3">
        <v>5</v>
      </c>
      <c r="L41" s="3">
        <v>1</v>
      </c>
      <c r="M41" s="3" t="s">
        <v>111</v>
      </c>
    </row>
    <row r="42" spans="1:13" ht="20" customHeight="1" x14ac:dyDescent="0.35">
      <c r="A42" s="4" t="str">
        <f>HYPERLINK("https://www.ti.com/product/BZX84C6V8", "BZX84C6V8")</f>
        <v>BZX84C6V8</v>
      </c>
      <c r="B42" s="3">
        <v>6.8</v>
      </c>
      <c r="C42" s="4" t="str">
        <f>HYPERLINK("https://www.ti.com/lit/gpn/BZX84C6V8", "PDF datasheet")</f>
        <v>PDF datasheet</v>
      </c>
      <c r="D42" s="4" t="str">
        <f>HYPERLINK("https://www.ti.com/document-viewer/BZX84C6V8/datasheet", "HTML datasheet")</f>
        <v>HTML datasheet</v>
      </c>
      <c r="E42" s="3" t="s">
        <v>112</v>
      </c>
      <c r="F42" s="3">
        <v>0.43</v>
      </c>
      <c r="G42" s="3">
        <v>1000</v>
      </c>
      <c r="H42" s="3">
        <v>0.03</v>
      </c>
      <c r="I42" s="3" t="s">
        <v>113</v>
      </c>
      <c r="J42" s="3">
        <v>200</v>
      </c>
      <c r="K42" s="3">
        <v>5</v>
      </c>
      <c r="L42" s="3">
        <v>1</v>
      </c>
      <c r="M42" s="3" t="s">
        <v>114</v>
      </c>
    </row>
    <row r="43" spans="1:13" ht="20" customHeight="1" x14ac:dyDescent="0.35">
      <c r="A43" s="4" t="str">
        <f>HYPERLINK("https://www.ti.com/product/BZX84C6V8-Q1", "BZX84C6V8-Q1")</f>
        <v>BZX84C6V8-Q1</v>
      </c>
      <c r="B43" s="3">
        <v>6.8</v>
      </c>
      <c r="C43" s="4" t="str">
        <f>HYPERLINK("https://www.ti.com/lit/gpn/BZX84C6V8-Q1", "PDF datasheet")</f>
        <v>PDF datasheet</v>
      </c>
      <c r="D43" s="4" t="str">
        <f>HYPERLINK("https://www.ti.com/document-viewer/BZX84C6V8-Q1/datasheet", "HTML datasheet")</f>
        <v>HTML datasheet</v>
      </c>
      <c r="E43" s="3" t="s">
        <v>115</v>
      </c>
      <c r="F43" s="3">
        <v>0.43</v>
      </c>
      <c r="G43" s="3">
        <v>1000</v>
      </c>
      <c r="H43" s="3">
        <v>3.5999999999999997E-2</v>
      </c>
      <c r="I43" s="3" t="s">
        <v>116</v>
      </c>
      <c r="J43" s="3">
        <v>200</v>
      </c>
      <c r="K43" s="3">
        <v>5</v>
      </c>
      <c r="L43" s="3">
        <v>1</v>
      </c>
      <c r="M43" s="3" t="s">
        <v>117</v>
      </c>
    </row>
    <row r="44" spans="1:13" ht="20" customHeight="1" x14ac:dyDescent="0.35">
      <c r="A44" s="4" t="str">
        <f>HYPERLINK("https://www.ti.com/product/BZX84C9V1", "BZX84C9V1")</f>
        <v>BZX84C9V1</v>
      </c>
      <c r="B44" s="3">
        <v>9.1</v>
      </c>
      <c r="C44" s="4" t="str">
        <f>HYPERLINK("https://www.ti.com/lit/gpn/BZX84C9V1", "PDF datasheet")</f>
        <v>PDF datasheet</v>
      </c>
      <c r="D44" s="4" t="str">
        <f>HYPERLINK("https://www.ti.com/document-viewer/BZX84C9V1/datasheet", "HTML datasheet")</f>
        <v>HTML datasheet</v>
      </c>
      <c r="E44" s="3" t="s">
        <v>118</v>
      </c>
      <c r="F44" s="3">
        <v>0.43</v>
      </c>
      <c r="G44" s="3">
        <v>500</v>
      </c>
      <c r="H44" s="3">
        <v>0.03</v>
      </c>
      <c r="I44" s="3" t="s">
        <v>119</v>
      </c>
      <c r="J44" s="3">
        <v>150</v>
      </c>
      <c r="K44" s="3">
        <v>5</v>
      </c>
      <c r="L44" s="3">
        <v>1</v>
      </c>
      <c r="M44" s="3" t="s">
        <v>120</v>
      </c>
    </row>
    <row r="45" spans="1:13" ht="20" customHeight="1" x14ac:dyDescent="0.35">
      <c r="A45" s="4" t="str">
        <f>HYPERLINK("https://www.ti.com/product/BZX84C9V1-Q1", "BZX84C9V1-Q1")</f>
        <v>BZX84C9V1-Q1</v>
      </c>
      <c r="B45" s="3">
        <v>9.1</v>
      </c>
      <c r="C45" s="4" t="str">
        <f>HYPERLINK("https://www.ti.com/lit/gpn/BZX84C9V1-Q1", "PDF datasheet")</f>
        <v>PDF datasheet</v>
      </c>
      <c r="D45" s="4" t="str">
        <f>HYPERLINK("https://www.ti.com/document-viewer/BZX84C9V1-Q1/datasheet", "HTML datasheet")</f>
        <v>HTML datasheet</v>
      </c>
      <c r="E45" s="3" t="s">
        <v>121</v>
      </c>
      <c r="F45" s="3">
        <v>0.43</v>
      </c>
      <c r="G45" s="3">
        <v>500</v>
      </c>
      <c r="H45" s="3">
        <v>3.5999999999999997E-2</v>
      </c>
      <c r="I45" s="3" t="s">
        <v>122</v>
      </c>
      <c r="J45" s="3">
        <v>150</v>
      </c>
      <c r="K45" s="3">
        <v>5</v>
      </c>
      <c r="L45" s="3">
        <v>1</v>
      </c>
      <c r="M45" s="3" t="s">
        <v>123</v>
      </c>
    </row>
    <row r="46" spans="1:13" ht="20" customHeight="1" x14ac:dyDescent="0.35">
      <c r="A46" s="4" t="str">
        <f>HYPERLINK("https://www.ti.com/product/BZX84WC16V-Q1", "BZX84WC16V-Q1")</f>
        <v>BZX84WC16V-Q1</v>
      </c>
      <c r="B46" s="3">
        <v>16</v>
      </c>
      <c r="C46" s="4" t="str">
        <f>HYPERLINK("https://www.ti.com/lit/gpn/BZX84WC16V-Q1", "PDF datasheet")</f>
        <v>PDF datasheet</v>
      </c>
      <c r="D46" s="4" t="str">
        <f>HYPERLINK("https://www.ti.com/document-viewer/BZX84WC16V-Q1/datasheet", "HTML datasheet")</f>
        <v>HTML datasheet</v>
      </c>
      <c r="E46" s="3" t="s">
        <v>124</v>
      </c>
      <c r="F46" s="3">
        <v>0.36</v>
      </c>
      <c r="G46" s="3">
        <v>30</v>
      </c>
      <c r="H46" s="3">
        <v>3.7999999999999999E-2</v>
      </c>
      <c r="I46" s="3" t="s">
        <v>125</v>
      </c>
      <c r="J46" s="3">
        <v>50</v>
      </c>
      <c r="K46" s="3">
        <v>5</v>
      </c>
      <c r="L46" s="3">
        <v>1</v>
      </c>
      <c r="M46" s="3" t="s">
        <v>126</v>
      </c>
    </row>
    <row r="47" spans="1:13" ht="20" customHeight="1" x14ac:dyDescent="0.35">
      <c r="A47" s="4" t="str">
        <f>HYPERLINK("https://www.ti.com/product/BZX84WC18V-Q1", "BZX84WC18V-Q1")</f>
        <v>BZX84WC18V-Q1</v>
      </c>
      <c r="B47" s="3">
        <v>18</v>
      </c>
      <c r="C47" s="4" t="str">
        <f>HYPERLINK("https://www.ti.com/lit/gpn/BZX84WC18V-Q1", "PDF datasheet")</f>
        <v>PDF datasheet</v>
      </c>
      <c r="D47" s="4" t="str">
        <f>HYPERLINK("https://www.ti.com/document-viewer/BZX84WC18V-Q1/datasheet", "HTML datasheet")</f>
        <v>HTML datasheet</v>
      </c>
      <c r="E47" s="3" t="s">
        <v>127</v>
      </c>
      <c r="F47" s="3">
        <v>0.36</v>
      </c>
      <c r="G47" s="3">
        <v>30</v>
      </c>
      <c r="H47" s="3">
        <v>3.7999999999999999E-2</v>
      </c>
      <c r="I47" s="3" t="s">
        <v>128</v>
      </c>
      <c r="J47" s="3">
        <v>45</v>
      </c>
      <c r="K47" s="3">
        <v>5</v>
      </c>
      <c r="L47" s="3">
        <v>1</v>
      </c>
      <c r="M47" s="3" t="s">
        <v>129</v>
      </c>
    </row>
    <row r="48" spans="1:13" ht="20" customHeight="1" x14ac:dyDescent="0.35">
      <c r="A48" s="4" t="str">
        <f>HYPERLINK("https://www.ti.com/product/BZX84WC5V6-Q1", "BZX84WC5V6-Q1")</f>
        <v>BZX84WC5V6-Q1</v>
      </c>
      <c r="B48" s="3">
        <v>5.6</v>
      </c>
      <c r="C48" s="4" t="str">
        <f>HYPERLINK("https://www.ti.com/lit/gpn/BZX84WC5V6-Q1", "PDF datasheet")</f>
        <v>PDF datasheet</v>
      </c>
      <c r="D48" s="4" t="str">
        <f>HYPERLINK("https://www.ti.com/document-viewer/BZX84WC5V6-Q1/datasheet", "HTML datasheet")</f>
        <v>HTML datasheet</v>
      </c>
      <c r="E48" s="3" t="s">
        <v>130</v>
      </c>
      <c r="F48" s="3">
        <v>0.36</v>
      </c>
      <c r="G48" s="3">
        <v>700</v>
      </c>
      <c r="H48" s="3">
        <v>3.7999999999999999E-2</v>
      </c>
      <c r="I48" s="3" t="s">
        <v>131</v>
      </c>
      <c r="J48" s="3">
        <v>20</v>
      </c>
      <c r="K48" s="3">
        <v>5</v>
      </c>
      <c r="L48" s="3">
        <v>1</v>
      </c>
      <c r="M48" s="3" t="s">
        <v>132</v>
      </c>
    </row>
    <row r="49" spans="1:13" ht="20" customHeight="1" x14ac:dyDescent="0.35">
      <c r="A49" s="4" t="str">
        <f>HYPERLINK("https://www.ti.com/product/BZX84WC6V8-Q1", "BZX84WC6V8-Q1")</f>
        <v>BZX84WC6V8-Q1</v>
      </c>
      <c r="B49" s="3">
        <v>6.8</v>
      </c>
      <c r="C49" s="4" t="str">
        <f>HYPERLINK("https://www.ti.com/lit/gpn/BZX84WC6V8-Q1", "PDF datasheet")</f>
        <v>PDF datasheet</v>
      </c>
      <c r="D49" s="4" t="str">
        <f>HYPERLINK("https://www.ti.com/document-viewer/BZX84WC6V8-Q1/datasheet", "HTML datasheet")</f>
        <v>HTML datasheet</v>
      </c>
      <c r="E49" s="3" t="s">
        <v>133</v>
      </c>
      <c r="F49" s="3">
        <v>0.36</v>
      </c>
      <c r="G49" s="3">
        <v>100</v>
      </c>
      <c r="H49" s="3">
        <v>3.7999999999999999E-2</v>
      </c>
      <c r="I49" s="3" t="s">
        <v>134</v>
      </c>
      <c r="J49" s="3">
        <v>120</v>
      </c>
      <c r="K49" s="3">
        <v>5</v>
      </c>
      <c r="L49" s="3">
        <v>1</v>
      </c>
      <c r="M49" s="3" t="s">
        <v>135</v>
      </c>
    </row>
    <row r="50" spans="1:13" ht="20" customHeight="1" x14ac:dyDescent="0.35">
      <c r="A50" s="4" t="str">
        <f>HYPERLINK("https://www.ti.com/product/BZX84WC9V1-Q1", "BZX84WC9V1-Q1")</f>
        <v>BZX84WC9V1-Q1</v>
      </c>
      <c r="B50" s="3">
        <v>9.1</v>
      </c>
      <c r="C50" s="4" t="str">
        <f>HYPERLINK("https://www.ti.com/lit/gpn/BZX84WC9V1-Q1", "PDF datasheet")</f>
        <v>PDF datasheet</v>
      </c>
      <c r="D50" s="4" t="str">
        <f>HYPERLINK("https://www.ti.com/document-viewer/BZX84WC9V1-Q1/datasheet", "HTML datasheet")</f>
        <v>HTML datasheet</v>
      </c>
      <c r="E50" s="3" t="s">
        <v>136</v>
      </c>
      <c r="F50" s="3">
        <v>0.36</v>
      </c>
      <c r="G50" s="3">
        <v>100</v>
      </c>
      <c r="H50" s="3">
        <v>3.7999999999999999E-2</v>
      </c>
      <c r="I50" s="3" t="s">
        <v>137</v>
      </c>
      <c r="J50" s="3">
        <v>90</v>
      </c>
      <c r="K50" s="3">
        <v>5</v>
      </c>
      <c r="L50" s="3">
        <v>1</v>
      </c>
      <c r="M50" s="3" t="s">
        <v>138</v>
      </c>
    </row>
    <row r="51" spans="1:13" ht="20" customHeight="1" x14ac:dyDescent="0.35">
      <c r="A51" s="4" t="str">
        <f>HYPERLINK("https://www.ti.com/product/BZX84WC16V", "BZX84WC16V")</f>
        <v>BZX84WC16V</v>
      </c>
      <c r="B51" s="3">
        <v>16</v>
      </c>
      <c r="C51" s="4" t="str">
        <f>HYPERLINK("https://www.ti.com/lit/gpn/BZX84WC16V", "PDF datasheet")</f>
        <v>PDF datasheet</v>
      </c>
      <c r="D51" s="4" t="str">
        <f>HYPERLINK("https://www.ti.com/document-viewer/BZX84WC16V/datasheet", "HTML datasheet")</f>
        <v>HTML datasheet</v>
      </c>
      <c r="E51" s="3" t="s">
        <v>139</v>
      </c>
      <c r="F51" s="3">
        <v>0.36</v>
      </c>
      <c r="G51" s="3">
        <v>30</v>
      </c>
      <c r="H51" s="3">
        <v>3.1E-2</v>
      </c>
      <c r="I51" s="3" t="s">
        <v>140</v>
      </c>
      <c r="J51" s="3">
        <v>50</v>
      </c>
      <c r="K51" s="3">
        <v>5</v>
      </c>
      <c r="L51" s="3">
        <v>1</v>
      </c>
      <c r="M51" s="3" t="s">
        <v>141</v>
      </c>
    </row>
    <row r="52" spans="1:13" ht="20" customHeight="1" x14ac:dyDescent="0.35">
      <c r="A52" s="4" t="str">
        <f>HYPERLINK("https://www.ti.com/product/BZX84WC18V", "BZX84WC18V")</f>
        <v>BZX84WC18V</v>
      </c>
      <c r="B52" s="3">
        <v>18</v>
      </c>
      <c r="C52" s="4" t="str">
        <f>HYPERLINK("https://www.ti.com/lit/gpn/BZX84WC18V", "PDF datasheet")</f>
        <v>PDF datasheet</v>
      </c>
      <c r="D52" s="4" t="str">
        <f>HYPERLINK("https://www.ti.com/document-viewer/BZX84WC18V/datasheet", "HTML datasheet")</f>
        <v>HTML datasheet</v>
      </c>
      <c r="E52" s="3" t="s">
        <v>142</v>
      </c>
      <c r="F52" s="3">
        <v>0.36</v>
      </c>
      <c r="G52" s="3">
        <v>30</v>
      </c>
      <c r="H52" s="3">
        <v>3.1E-2</v>
      </c>
      <c r="I52" s="3" t="s">
        <v>143</v>
      </c>
      <c r="J52" s="3">
        <v>45</v>
      </c>
      <c r="K52" s="3">
        <v>5</v>
      </c>
      <c r="L52" s="3">
        <v>1</v>
      </c>
      <c r="M52" s="3" t="s">
        <v>144</v>
      </c>
    </row>
    <row r="53" spans="1:13" ht="20" customHeight="1" x14ac:dyDescent="0.35">
      <c r="A53" s="4" t="str">
        <f>HYPERLINK("https://www.ti.com/product/BZX84WC5V6", "BZX84WC5V6")</f>
        <v>BZX84WC5V6</v>
      </c>
      <c r="B53" s="3">
        <v>5.6</v>
      </c>
      <c r="C53" s="4" t="str">
        <f>HYPERLINK("https://www.ti.com/lit/gpn/BZX84WC5V6", "PDF datasheet")</f>
        <v>PDF datasheet</v>
      </c>
      <c r="D53" s="4" t="str">
        <f>HYPERLINK("https://www.ti.com/document-viewer/BZX84WC5V6/datasheet", "HTML datasheet")</f>
        <v>HTML datasheet</v>
      </c>
      <c r="E53" s="3" t="s">
        <v>145</v>
      </c>
      <c r="F53" s="3">
        <v>0.36</v>
      </c>
      <c r="G53" s="3">
        <v>700</v>
      </c>
      <c r="H53" s="3">
        <v>3.1E-2</v>
      </c>
      <c r="I53" s="3" t="s">
        <v>146</v>
      </c>
      <c r="J53" s="3">
        <v>20</v>
      </c>
      <c r="K53" s="3">
        <v>5</v>
      </c>
      <c r="L53" s="3">
        <v>1</v>
      </c>
      <c r="M53" s="3" t="s">
        <v>147</v>
      </c>
    </row>
    <row r="54" spans="1:13" ht="20" customHeight="1" x14ac:dyDescent="0.35">
      <c r="A54" s="4" t="str">
        <f>HYPERLINK("https://www.ti.com/product/BZX84WC6V8", "BZX84WC6V8")</f>
        <v>BZX84WC6V8</v>
      </c>
      <c r="B54" s="3">
        <v>6.8</v>
      </c>
      <c r="C54" s="4" t="str">
        <f>HYPERLINK("https://www.ti.com/lit/gpn/BZX84WC6V8", "PDF datasheet")</f>
        <v>PDF datasheet</v>
      </c>
      <c r="D54" s="4" t="str">
        <f>HYPERLINK("https://www.ti.com/document-viewer/BZX84WC6V8/datasheet", "HTML datasheet")</f>
        <v>HTML datasheet</v>
      </c>
      <c r="E54" s="3" t="s">
        <v>148</v>
      </c>
      <c r="F54" s="3">
        <v>0.36</v>
      </c>
      <c r="G54" s="3">
        <v>100</v>
      </c>
      <c r="H54" s="3">
        <v>3.1E-2</v>
      </c>
      <c r="I54" s="3" t="s">
        <v>149</v>
      </c>
      <c r="J54" s="3">
        <v>120</v>
      </c>
      <c r="K54" s="3">
        <v>5</v>
      </c>
      <c r="L54" s="3">
        <v>1</v>
      </c>
      <c r="M54" s="3" t="s">
        <v>150</v>
      </c>
    </row>
    <row r="55" spans="1:13" ht="20" customHeight="1" x14ac:dyDescent="0.35">
      <c r="A55" s="4" t="str">
        <f>HYPERLINK("https://www.ti.com/product/BZX84WC9V1", "BZX84WC9V1")</f>
        <v>BZX84WC9V1</v>
      </c>
      <c r="B55" s="3">
        <v>9.1</v>
      </c>
      <c r="C55" s="4" t="str">
        <f>HYPERLINK("https://www.ti.com/lit/gpn/BZX84WC9V1", "PDF datasheet")</f>
        <v>PDF datasheet</v>
      </c>
      <c r="D55" s="4" t="str">
        <f>HYPERLINK("https://www.ti.com/document-viewer/BZX84WC9V1/datasheet", "HTML datasheet")</f>
        <v>HTML datasheet</v>
      </c>
      <c r="E55" s="3" t="s">
        <v>151</v>
      </c>
      <c r="F55" s="3">
        <v>0.36</v>
      </c>
      <c r="G55" s="3">
        <v>100</v>
      </c>
      <c r="H55" s="3">
        <v>3.1E-2</v>
      </c>
      <c r="I55" s="3" t="s">
        <v>152</v>
      </c>
      <c r="J55" s="3">
        <v>90</v>
      </c>
      <c r="K55" s="3">
        <v>5</v>
      </c>
      <c r="L55" s="3">
        <v>1</v>
      </c>
      <c r="M55" s="3" t="s">
        <v>153</v>
      </c>
    </row>
    <row r="56" spans="1:13" ht="20" customHeight="1" x14ac:dyDescent="0.35">
      <c r="A56" s="4" t="str">
        <f>HYPERLINK("https://www.ti.com/product/BZX84WC15V", "BZX84WC15V")</f>
        <v>BZX84WC15V</v>
      </c>
      <c r="B56" s="3">
        <v>15</v>
      </c>
      <c r="C56" s="4" t="str">
        <f>HYPERLINK("https://www.ti.com/lit/gpn/BZX84WC15V", "PDF datasheet")</f>
        <v>PDF datasheet</v>
      </c>
      <c r="D56" s="4" t="str">
        <f>HYPERLINK("https://www.ti.com/document-viewer/BZX84WC15V/datasheet", "HTML datasheet")</f>
        <v>HTML datasheet</v>
      </c>
      <c r="E56" s="3" t="s">
        <v>154</v>
      </c>
      <c r="F56" s="3">
        <v>0.36</v>
      </c>
      <c r="G56" s="3">
        <v>500</v>
      </c>
      <c r="H56" s="3">
        <v>3.1E-2</v>
      </c>
      <c r="I56" s="3" t="s">
        <v>155</v>
      </c>
      <c r="J56" s="3">
        <v>68</v>
      </c>
      <c r="K56" s="3">
        <v>5</v>
      </c>
      <c r="L56" s="3">
        <v>1</v>
      </c>
      <c r="M56" s="3" t="s">
        <v>156</v>
      </c>
    </row>
    <row r="57" spans="1:13" ht="20" customHeight="1" x14ac:dyDescent="0.35">
      <c r="A57" s="4" t="str">
        <f>HYPERLINK("https://www.ti.com/product/BZX84WC15V-Q1", "BZX84WC15V-Q1")</f>
        <v>BZX84WC15V-Q1</v>
      </c>
      <c r="B57" s="3">
        <v>15</v>
      </c>
      <c r="C57" s="4" t="str">
        <f>HYPERLINK("https://www.ti.com/lit/gpn/BZX84WC15V-Q1", "PDF datasheet")</f>
        <v>PDF datasheet</v>
      </c>
      <c r="D57" s="4" t="str">
        <f>HYPERLINK("https://www.ti.com/document-viewer/BZX84WC15V-Q1/datasheet", "HTML datasheet")</f>
        <v>HTML datasheet</v>
      </c>
      <c r="E57" s="3" t="s">
        <v>157</v>
      </c>
      <c r="F57" s="3">
        <v>0.36</v>
      </c>
      <c r="G57" s="3">
        <v>500</v>
      </c>
      <c r="H57" s="3">
        <v>3.7999999999999999E-2</v>
      </c>
      <c r="I57" s="3" t="s">
        <v>158</v>
      </c>
      <c r="J57" s="3">
        <v>68</v>
      </c>
      <c r="K57" s="3">
        <v>5</v>
      </c>
      <c r="L57" s="3">
        <v>1</v>
      </c>
      <c r="M57" s="3" t="s">
        <v>159</v>
      </c>
    </row>
    <row r="58" spans="1:13" ht="20" customHeight="1" x14ac:dyDescent="0.35">
      <c r="A58" s="4" t="str">
        <f>HYPERLINK("https://www.ti.com/product/BZX84WC39V-Q1", "BZX84WC39V-Q1")</f>
        <v>BZX84WC39V-Q1</v>
      </c>
      <c r="B58" s="3">
        <v>39</v>
      </c>
      <c r="C58" s="4" t="str">
        <f>HYPERLINK("https://www.ti.com/lit/gpn/BZX84WC39V-Q1", "PDF datasheet")</f>
        <v>PDF datasheet</v>
      </c>
      <c r="D58" s="4" t="str">
        <f>HYPERLINK("https://www.ti.com/document-viewer/BZX84WC39V-Q1/datasheet", "HTML datasheet")</f>
        <v>HTML datasheet</v>
      </c>
      <c r="E58" s="3" t="s">
        <v>160</v>
      </c>
      <c r="F58" s="3">
        <v>0.36</v>
      </c>
      <c r="G58" s="3">
        <v>30</v>
      </c>
      <c r="H58" s="3">
        <v>3.7999999999999999E-2</v>
      </c>
      <c r="I58" s="3" t="s">
        <v>161</v>
      </c>
      <c r="J58" s="3">
        <v>25</v>
      </c>
      <c r="K58" s="3">
        <v>5</v>
      </c>
      <c r="L58" s="3">
        <v>1</v>
      </c>
      <c r="M58" s="3" t="s">
        <v>162</v>
      </c>
    </row>
    <row r="59" spans="1:13" ht="20" customHeight="1" x14ac:dyDescent="0.35">
      <c r="A59" s="4" t="str">
        <f>HYPERLINK("https://www.ti.com/product/BZX84C39V-Q1", "BZX84C39V-Q1")</f>
        <v>BZX84C39V-Q1</v>
      </c>
      <c r="B59" s="3">
        <v>39</v>
      </c>
      <c r="C59" s="4" t="str">
        <f>HYPERLINK("https://www.ti.com/lit/gpn/BZX84C39V-Q1", "PDF datasheet")</f>
        <v>PDF datasheet</v>
      </c>
      <c r="D59" s="4" t="str">
        <f>HYPERLINK("https://www.ti.com/document-viewer/BZX84C39V-Q1/datasheet", "HTML datasheet")</f>
        <v>HTML datasheet</v>
      </c>
      <c r="E59" s="3" t="s">
        <v>163</v>
      </c>
      <c r="F59" s="3">
        <v>0.43</v>
      </c>
      <c r="G59" s="3">
        <v>500</v>
      </c>
      <c r="H59" s="3">
        <v>3.5999999999999997E-2</v>
      </c>
      <c r="I59" s="3" t="s">
        <v>164</v>
      </c>
      <c r="J59" s="3">
        <v>25</v>
      </c>
      <c r="K59" s="3">
        <v>5</v>
      </c>
      <c r="L59" s="3">
        <v>1</v>
      </c>
      <c r="M59" s="3" t="s">
        <v>165</v>
      </c>
    </row>
    <row r="60" spans="1:13" ht="20" customHeight="1" x14ac:dyDescent="0.35">
      <c r="A60" s="4" t="str">
        <f>HYPERLINK("https://www.ti.com/product/BZX84WC39V", "BZX84WC39V")</f>
        <v>BZX84WC39V</v>
      </c>
      <c r="B60" s="3">
        <v>39</v>
      </c>
      <c r="C60" s="4" t="str">
        <f>HYPERLINK("https://www.ti.com/lit/gpn/BZX84WC39V", "PDF datasheet")</f>
        <v>PDF datasheet</v>
      </c>
      <c r="D60" s="4" t="str">
        <f>HYPERLINK("https://www.ti.com/document-viewer/BZX84WC39V/datasheet", "HTML datasheet")</f>
        <v>HTML datasheet</v>
      </c>
      <c r="E60" s="3" t="s">
        <v>166</v>
      </c>
      <c r="F60" s="3">
        <v>0.36</v>
      </c>
      <c r="G60" s="3">
        <v>500</v>
      </c>
      <c r="H60" s="3">
        <v>3.1E-2</v>
      </c>
      <c r="I60" s="3" t="s">
        <v>167</v>
      </c>
      <c r="J60" s="3">
        <v>80</v>
      </c>
      <c r="K60" s="3">
        <v>5</v>
      </c>
      <c r="L60" s="3">
        <v>1</v>
      </c>
      <c r="M60" s="3" t="s">
        <v>168</v>
      </c>
    </row>
    <row r="61" spans="1:13" ht="20" customHeight="1" x14ac:dyDescent="0.35">
      <c r="A61" s="4" t="str">
        <f>HYPERLINK("https://www.ti.com/product/BZX84WC27V", "BZX84WC27V")</f>
        <v>BZX84WC27V</v>
      </c>
      <c r="B61" s="3">
        <v>27</v>
      </c>
      <c r="C61" s="4" t="str">
        <f>HYPERLINK("https://www.ti.com/lit/gpn/BZX84WC27V", "PDF datasheet")</f>
        <v>PDF datasheet</v>
      </c>
      <c r="D61" s="4" t="str">
        <f>HYPERLINK("https://www.ti.com/document-viewer/BZX84WC27V/datasheet", "HTML datasheet")</f>
        <v>HTML datasheet</v>
      </c>
      <c r="E61" s="3" t="s">
        <v>169</v>
      </c>
      <c r="F61" s="3">
        <v>0.36</v>
      </c>
      <c r="G61" s="3">
        <v>30</v>
      </c>
      <c r="H61" s="3">
        <v>3.1E-2</v>
      </c>
      <c r="I61" s="3" t="s">
        <v>170</v>
      </c>
      <c r="J61" s="3">
        <v>35</v>
      </c>
      <c r="K61" s="3">
        <v>5</v>
      </c>
      <c r="L61" s="3">
        <v>1</v>
      </c>
      <c r="M61" s="3" t="s">
        <v>171</v>
      </c>
    </row>
    <row r="62" spans="1:13" ht="20" customHeight="1" x14ac:dyDescent="0.35">
      <c r="A62" s="4" t="str">
        <f>HYPERLINK("https://www.ti.com/product/BZX84WC27V-Q1", "BZX84WC27V-Q1")</f>
        <v>BZX84WC27V-Q1</v>
      </c>
      <c r="B62" s="3">
        <v>27</v>
      </c>
      <c r="C62" s="4" t="str">
        <f>HYPERLINK("https://www.ti.com/lit/gpn/BZX84WC27V-Q1", "PDF datasheet")</f>
        <v>PDF datasheet</v>
      </c>
      <c r="D62" s="4" t="str">
        <f>HYPERLINK("https://www.ti.com/document-viewer/BZX84WC27V-Q1/datasheet", "HTML datasheet")</f>
        <v>HTML datasheet</v>
      </c>
      <c r="E62" s="3" t="s">
        <v>172</v>
      </c>
      <c r="F62" s="3">
        <v>0.36</v>
      </c>
      <c r="G62" s="3">
        <v>500</v>
      </c>
      <c r="H62" s="3">
        <v>3.7999999999999999E-2</v>
      </c>
      <c r="I62" s="3" t="s">
        <v>173</v>
      </c>
      <c r="J62" s="3">
        <v>80</v>
      </c>
      <c r="K62" s="3">
        <v>5</v>
      </c>
      <c r="L62" s="3">
        <v>1</v>
      </c>
      <c r="M62" s="3" t="s">
        <v>174</v>
      </c>
    </row>
    <row r="63" spans="1:13" ht="20" customHeight="1" x14ac:dyDescent="0.35">
      <c r="A63" s="4" t="str">
        <f>HYPERLINK("https://www.ti.com/product/BZX84WC8V2", "BZX84WC8V2")</f>
        <v>BZX84WC8V2</v>
      </c>
      <c r="B63" s="3">
        <v>8.1999999999999993</v>
      </c>
      <c r="C63" s="4" t="str">
        <f>HYPERLINK("https://www.ti.com/lit/gpn/BZX84WC8V2", "PDF datasheet")</f>
        <v>PDF datasheet</v>
      </c>
      <c r="D63" s="4" t="str">
        <f>HYPERLINK("https://www.ti.com/document-viewer/BZX84WC8V2/datasheet", "HTML datasheet")</f>
        <v>HTML datasheet</v>
      </c>
      <c r="E63" s="3" t="s">
        <v>175</v>
      </c>
      <c r="F63" s="3">
        <v>0.36</v>
      </c>
      <c r="G63" s="3">
        <v>500</v>
      </c>
      <c r="H63" s="3">
        <v>3.1E-2</v>
      </c>
      <c r="I63" s="3" t="s">
        <v>176</v>
      </c>
      <c r="J63" s="3">
        <v>80</v>
      </c>
      <c r="K63" s="3">
        <v>5</v>
      </c>
      <c r="L63" s="3">
        <v>1</v>
      </c>
      <c r="M63" s="3" t="s">
        <v>177</v>
      </c>
    </row>
    <row r="64" spans="1:13" ht="20" customHeight="1" x14ac:dyDescent="0.35">
      <c r="A64" s="4" t="str">
        <f>HYPERLINK("https://www.ti.com/product/BZX84WC8V2-Q1", "BZX84WC8V2-Q1")</f>
        <v>BZX84WC8V2-Q1</v>
      </c>
      <c r="B64" s="3">
        <v>8.1999999999999993</v>
      </c>
      <c r="C64" s="4" t="str">
        <f>HYPERLINK("https://www.ti.com/lit/gpn/BZX84WC8V2-Q1", "PDF datasheet")</f>
        <v>PDF datasheet</v>
      </c>
      <c r="D64" s="4" t="str">
        <f>HYPERLINK("https://www.ti.com/document-viewer/BZX84WC8V2-Q1/datasheet", "HTML datasheet")</f>
        <v>HTML datasheet</v>
      </c>
      <c r="E64" s="3" t="s">
        <v>178</v>
      </c>
      <c r="F64" s="3">
        <v>0.36</v>
      </c>
      <c r="G64" s="3">
        <v>500</v>
      </c>
      <c r="H64" s="3">
        <v>3.7999999999999999E-2</v>
      </c>
      <c r="I64" s="3" t="s">
        <v>179</v>
      </c>
      <c r="J64" s="3">
        <v>80</v>
      </c>
      <c r="K64" s="3">
        <v>5</v>
      </c>
      <c r="L64" s="3">
        <v>1</v>
      </c>
      <c r="M64" s="3" t="s">
        <v>180</v>
      </c>
    </row>
    <row r="65" spans="1:13" ht="20" customHeight="1" x14ac:dyDescent="0.35">
      <c r="A65" s="4" t="str">
        <f>HYPERLINK("https://www.ti.com/product/BZX84C15V-Q1", "BZX84C15V-Q1")</f>
        <v>BZX84C15V-Q1</v>
      </c>
      <c r="B65" s="3">
        <v>15</v>
      </c>
      <c r="C65" s="4" t="str">
        <f>HYPERLINK("https://www.ti.com/lit/gpn/BZX84C15V-Q1", "PDF datasheet")</f>
        <v>PDF datasheet</v>
      </c>
      <c r="D65" s="4" t="str">
        <f>HYPERLINK("https://www.ti.com/document-viewer/BZX84C15V-Q1/datasheet", "HTML datasheet")</f>
        <v>HTML datasheet</v>
      </c>
      <c r="E65" s="3" t="s">
        <v>181</v>
      </c>
      <c r="F65" s="3">
        <v>0.43</v>
      </c>
      <c r="G65" s="3">
        <v>500</v>
      </c>
      <c r="H65" s="3">
        <v>3.5999999999999997E-2</v>
      </c>
      <c r="I65" s="3" t="s">
        <v>182</v>
      </c>
      <c r="J65" s="3">
        <v>68</v>
      </c>
      <c r="K65" s="3">
        <v>5</v>
      </c>
      <c r="L65" s="3">
        <v>1</v>
      </c>
      <c r="M65" s="3" t="s">
        <v>183</v>
      </c>
    </row>
    <row r="66" spans="1:13" ht="20" customHeight="1" x14ac:dyDescent="0.35">
      <c r="A66" s="4" t="str">
        <f>HYPERLINK("https://www.ti.com/product/BZX84C27V-Q1", "BZX84C27V-Q1")</f>
        <v>BZX84C27V-Q1</v>
      </c>
      <c r="B66" s="3">
        <v>27</v>
      </c>
      <c r="C66" s="4" t="str">
        <f>HYPERLINK("https://www.ti.com/lit/gpn/BZX84C27V-Q1", "PDF datasheet")</f>
        <v>PDF datasheet</v>
      </c>
      <c r="D66" s="4" t="str">
        <f>HYPERLINK("https://www.ti.com/document-viewer/BZX84C27V-Q1/datasheet", "HTML datasheet")</f>
        <v>HTML datasheet</v>
      </c>
      <c r="E66" s="3" t="s">
        <v>184</v>
      </c>
      <c r="F66" s="3">
        <v>0.43</v>
      </c>
      <c r="G66" s="3">
        <v>30</v>
      </c>
      <c r="H66" s="3">
        <v>3.5999999999999997E-2</v>
      </c>
      <c r="I66" s="3" t="s">
        <v>185</v>
      </c>
      <c r="J66" s="3">
        <v>35</v>
      </c>
      <c r="K66" s="3">
        <v>5</v>
      </c>
      <c r="L66" s="3">
        <v>1</v>
      </c>
      <c r="M66" s="3" t="s">
        <v>186</v>
      </c>
    </row>
    <row r="67" spans="1:13" ht="20" customHeight="1" x14ac:dyDescent="0.35">
      <c r="A67" s="4" t="str">
        <f>HYPERLINK("https://www.ti.com/product/BZX84C8V2-Q1", "BZX84C8V2-Q1")</f>
        <v>BZX84C8V2-Q1</v>
      </c>
      <c r="B67" s="3">
        <v>8.1999999999999993</v>
      </c>
      <c r="C67" s="4" t="str">
        <f>HYPERLINK("https://www.ti.com/lit/gpn/BZX84C8V2-Q1", "PDF datasheet")</f>
        <v>PDF datasheet</v>
      </c>
      <c r="D67" s="4" t="str">
        <f>HYPERLINK("https://www.ti.com/document-viewer/BZX84C8V2-Q1/datasheet", "HTML datasheet")</f>
        <v>HTML datasheet</v>
      </c>
      <c r="E67" s="3" t="s">
        <v>187</v>
      </c>
      <c r="F67" s="3">
        <v>0.43</v>
      </c>
      <c r="G67" s="3">
        <v>500</v>
      </c>
      <c r="H67" s="3">
        <v>3.5999999999999997E-2</v>
      </c>
      <c r="I67" s="3" t="s">
        <v>188</v>
      </c>
      <c r="J67" s="3">
        <v>80</v>
      </c>
      <c r="K67" s="3">
        <v>5</v>
      </c>
      <c r="L67" s="3">
        <v>1</v>
      </c>
      <c r="M67" s="3" t="s">
        <v>189</v>
      </c>
    </row>
    <row r="68" spans="1:13" ht="20" customHeight="1" x14ac:dyDescent="0.35">
      <c r="A68" s="4" t="str">
        <f>HYPERLINK("https://www.ti.com/product/BZX84C15V", "BZX84C15V")</f>
        <v>BZX84C15V</v>
      </c>
      <c r="B68" s="3">
        <v>15</v>
      </c>
      <c r="C68" s="4" t="str">
        <f>HYPERLINK("https://www.ti.com/lit/gpn/BZX84C15V", "PDF datasheet")</f>
        <v>PDF datasheet</v>
      </c>
      <c r="D68" s="4" t="str">
        <f>HYPERLINK("https://www.ti.com/document-viewer/BZX84C15V/datasheet", "HTML datasheet")</f>
        <v>HTML datasheet</v>
      </c>
      <c r="E68" s="3" t="s">
        <v>190</v>
      </c>
      <c r="F68" s="3">
        <v>0.43</v>
      </c>
      <c r="G68" s="3">
        <v>500</v>
      </c>
      <c r="H68" s="3">
        <v>0.03</v>
      </c>
      <c r="I68" s="3" t="s">
        <v>191</v>
      </c>
      <c r="J68" s="3">
        <v>68</v>
      </c>
      <c r="K68" s="3">
        <v>5</v>
      </c>
      <c r="L68" s="3">
        <v>1</v>
      </c>
      <c r="M68" s="3" t="s">
        <v>192</v>
      </c>
    </row>
    <row r="69" spans="1:13" ht="20" customHeight="1" x14ac:dyDescent="0.35">
      <c r="A69" s="4" t="str">
        <f>HYPERLINK("https://www.ti.com/product/BZX84C27V", "BZX84C27V")</f>
        <v>BZX84C27V</v>
      </c>
      <c r="B69" s="3">
        <v>27</v>
      </c>
      <c r="C69" s="4" t="str">
        <f>HYPERLINK("https://www.ti.com/lit/gpn/BZX84C27V", "PDF datasheet")</f>
        <v>PDF datasheet</v>
      </c>
      <c r="D69" s="4" t="str">
        <f>HYPERLINK("https://www.ti.com/document-viewer/BZX84C27V/datasheet", "HTML datasheet")</f>
        <v>HTML datasheet</v>
      </c>
      <c r="E69" s="3" t="s">
        <v>193</v>
      </c>
      <c r="F69" s="3">
        <v>0.43</v>
      </c>
      <c r="G69" s="3">
        <v>30</v>
      </c>
      <c r="H69" s="3">
        <v>0.03</v>
      </c>
      <c r="I69" s="3" t="s">
        <v>194</v>
      </c>
      <c r="J69" s="3">
        <v>35</v>
      </c>
      <c r="K69" s="3">
        <v>5</v>
      </c>
      <c r="L69" s="3">
        <v>1</v>
      </c>
      <c r="M69" s="3" t="s">
        <v>195</v>
      </c>
    </row>
    <row r="70" spans="1:13" ht="20" customHeight="1" x14ac:dyDescent="0.35">
      <c r="A70" s="4" t="str">
        <f>HYPERLINK("https://www.ti.com/product/BZX84C39V", "BZX84C39V")</f>
        <v>BZX84C39V</v>
      </c>
      <c r="B70" s="3">
        <v>39</v>
      </c>
      <c r="C70" s="4" t="str">
        <f>HYPERLINK("https://www.ti.com/lit/gpn/BZX84C39V", "PDF datasheet")</f>
        <v>PDF datasheet</v>
      </c>
      <c r="D70" s="4" t="str">
        <f>HYPERLINK("https://www.ti.com/document-viewer/BZX84C39V/datasheet", "HTML datasheet")</f>
        <v>HTML datasheet</v>
      </c>
      <c r="E70" s="3" t="s">
        <v>196</v>
      </c>
      <c r="F70" s="3">
        <v>0.43</v>
      </c>
      <c r="G70" s="3">
        <v>500</v>
      </c>
      <c r="H70" s="3">
        <v>0.03</v>
      </c>
      <c r="I70" s="3" t="s">
        <v>197</v>
      </c>
      <c r="J70" s="3">
        <v>25</v>
      </c>
      <c r="K70" s="3">
        <v>5</v>
      </c>
      <c r="L70" s="3">
        <v>1</v>
      </c>
      <c r="M70" s="3" t="s">
        <v>198</v>
      </c>
    </row>
    <row r="71" spans="1:13" ht="20" customHeight="1" x14ac:dyDescent="0.35">
      <c r="A71" s="4" t="str">
        <f>HYPERLINK("https://www.ti.com/product/BZX84C8V2", "BZX84C8V2")</f>
        <v>BZX84C8V2</v>
      </c>
      <c r="B71" s="3">
        <v>8.1999999999999993</v>
      </c>
      <c r="C71" s="4" t="str">
        <f>HYPERLINK("https://www.ti.com/lit/gpn/BZX84C8V2", "PDF datasheet")</f>
        <v>PDF datasheet</v>
      </c>
      <c r="D71" s="4" t="str">
        <f>HYPERLINK("https://www.ti.com/document-viewer/BZX84C8V2/datasheet", "HTML datasheet")</f>
        <v>HTML datasheet</v>
      </c>
      <c r="E71" s="3" t="s">
        <v>199</v>
      </c>
      <c r="F71" s="3">
        <v>0.43</v>
      </c>
      <c r="G71" s="3">
        <v>500</v>
      </c>
      <c r="H71" s="3">
        <v>0.03</v>
      </c>
      <c r="I71" s="3" t="s">
        <v>200</v>
      </c>
      <c r="J71" s="3">
        <v>80</v>
      </c>
      <c r="K71" s="3">
        <v>5</v>
      </c>
      <c r="L71" s="3">
        <v>1</v>
      </c>
      <c r="M71" s="3" t="s">
        <v>201</v>
      </c>
    </row>
    <row r="72" spans="1:13" ht="16.5" x14ac:dyDescent="0.35">
      <c r="A72" t="s">
        <v>202</v>
      </c>
      <c r="B72" s="3">
        <v>10</v>
      </c>
      <c r="E72" s="3" t="s">
        <v>24</v>
      </c>
      <c r="F72" s="3">
        <v>0.43</v>
      </c>
      <c r="I72" s="3" t="s">
        <v>25</v>
      </c>
      <c r="K72" s="3">
        <v>5</v>
      </c>
      <c r="L72" s="3">
        <v>1</v>
      </c>
    </row>
    <row r="73" spans="1:13" ht="16.5" x14ac:dyDescent="0.35">
      <c r="A73" t="s">
        <v>369</v>
      </c>
      <c r="B73" s="3">
        <v>10</v>
      </c>
      <c r="E73" s="3" t="s">
        <v>24</v>
      </c>
      <c r="F73" s="3">
        <v>0.43</v>
      </c>
      <c r="I73" s="3" t="s">
        <v>25</v>
      </c>
      <c r="K73" s="3">
        <v>5</v>
      </c>
      <c r="L73" s="3">
        <v>1</v>
      </c>
    </row>
    <row r="74" spans="1:13" ht="16.5" x14ac:dyDescent="0.35">
      <c r="A74" t="s">
        <v>203</v>
      </c>
      <c r="B74" s="3">
        <v>11</v>
      </c>
      <c r="E74" s="3" t="s">
        <v>24</v>
      </c>
      <c r="F74" s="3">
        <v>0.43</v>
      </c>
      <c r="I74" s="3" t="s">
        <v>25</v>
      </c>
      <c r="K74" s="3">
        <v>5</v>
      </c>
      <c r="L74" s="3">
        <v>1</v>
      </c>
    </row>
    <row r="75" spans="1:13" ht="16.5" x14ac:dyDescent="0.35">
      <c r="A75" t="s">
        <v>370</v>
      </c>
      <c r="B75" s="3">
        <v>11</v>
      </c>
      <c r="E75" s="3" t="s">
        <v>24</v>
      </c>
      <c r="F75" s="3">
        <v>0.43</v>
      </c>
      <c r="I75" s="3" t="s">
        <v>25</v>
      </c>
      <c r="K75" s="3">
        <v>5</v>
      </c>
      <c r="L75" s="3">
        <v>1</v>
      </c>
    </row>
    <row r="76" spans="1:13" ht="16.5" x14ac:dyDescent="0.35">
      <c r="A76" t="s">
        <v>204</v>
      </c>
      <c r="B76" s="3">
        <v>12</v>
      </c>
      <c r="E76" s="3" t="s">
        <v>24</v>
      </c>
      <c r="F76" s="3">
        <v>0.43</v>
      </c>
      <c r="I76" s="3" t="s">
        <v>25</v>
      </c>
      <c r="K76" s="3">
        <v>5</v>
      </c>
      <c r="L76" s="3">
        <v>1</v>
      </c>
    </row>
    <row r="77" spans="1:13" ht="16.5" x14ac:dyDescent="0.35">
      <c r="A77" t="s">
        <v>371</v>
      </c>
      <c r="B77" s="3">
        <v>12</v>
      </c>
      <c r="E77" s="3" t="s">
        <v>24</v>
      </c>
      <c r="F77" s="3">
        <v>0.43</v>
      </c>
      <c r="I77" s="3" t="s">
        <v>25</v>
      </c>
      <c r="K77" s="3">
        <v>5</v>
      </c>
      <c r="L77" s="3">
        <v>1</v>
      </c>
    </row>
    <row r="78" spans="1:13" ht="16.5" x14ac:dyDescent="0.35">
      <c r="A78" t="s">
        <v>368</v>
      </c>
      <c r="B78" s="3">
        <v>13</v>
      </c>
      <c r="E78" s="3" t="s">
        <v>24</v>
      </c>
      <c r="F78" s="3">
        <v>0.43</v>
      </c>
      <c r="I78" s="3" t="s">
        <v>25</v>
      </c>
      <c r="K78" s="3">
        <v>5</v>
      </c>
      <c r="L78" s="3">
        <v>1</v>
      </c>
    </row>
    <row r="79" spans="1:13" ht="16.5" x14ac:dyDescent="0.35">
      <c r="A79" t="s">
        <v>372</v>
      </c>
      <c r="B79" s="3">
        <v>13</v>
      </c>
      <c r="E79" s="3" t="s">
        <v>24</v>
      </c>
      <c r="F79" s="3">
        <v>0.43</v>
      </c>
      <c r="I79" s="3" t="s">
        <v>25</v>
      </c>
      <c r="K79" s="3">
        <v>5</v>
      </c>
      <c r="L79" s="3">
        <v>1</v>
      </c>
    </row>
    <row r="80" spans="1:13" ht="16.5" x14ac:dyDescent="0.35">
      <c r="A80" t="s">
        <v>205</v>
      </c>
      <c r="B80" s="3">
        <v>20</v>
      </c>
      <c r="E80" s="3" t="s">
        <v>24</v>
      </c>
      <c r="F80" s="3">
        <v>0.43</v>
      </c>
      <c r="I80" s="3" t="s">
        <v>25</v>
      </c>
      <c r="K80" s="3">
        <v>5</v>
      </c>
      <c r="L80" s="3">
        <v>1</v>
      </c>
    </row>
    <row r="81" spans="1:12" ht="16.5" x14ac:dyDescent="0.35">
      <c r="A81" t="s">
        <v>210</v>
      </c>
      <c r="B81" s="3">
        <v>20</v>
      </c>
      <c r="E81" t="s">
        <v>24</v>
      </c>
      <c r="F81" s="3">
        <v>0.43</v>
      </c>
      <c r="I81" s="3" t="s">
        <v>25</v>
      </c>
      <c r="K81" s="3">
        <v>5</v>
      </c>
      <c r="L81" s="3">
        <v>1</v>
      </c>
    </row>
    <row r="82" spans="1:12" ht="16.5" x14ac:dyDescent="0.35">
      <c r="A82" t="s">
        <v>206</v>
      </c>
      <c r="B82" s="3">
        <v>22</v>
      </c>
      <c r="E82" t="s">
        <v>24</v>
      </c>
      <c r="F82" s="3">
        <v>0.43</v>
      </c>
      <c r="I82" s="3" t="s">
        <v>25</v>
      </c>
      <c r="K82" s="3">
        <v>5</v>
      </c>
      <c r="L82" s="3">
        <v>1</v>
      </c>
    </row>
    <row r="83" spans="1:12" ht="16.5" x14ac:dyDescent="0.35">
      <c r="A83" t="s">
        <v>211</v>
      </c>
      <c r="B83" s="3">
        <v>22</v>
      </c>
      <c r="E83" t="s">
        <v>24</v>
      </c>
      <c r="F83" s="3">
        <v>0.43</v>
      </c>
      <c r="I83" s="3" t="s">
        <v>25</v>
      </c>
      <c r="K83" s="3">
        <v>5</v>
      </c>
      <c r="L83" s="3">
        <v>1</v>
      </c>
    </row>
    <row r="84" spans="1:12" ht="16.5" x14ac:dyDescent="0.35">
      <c r="A84" t="s">
        <v>207</v>
      </c>
      <c r="B84" s="3">
        <v>24</v>
      </c>
      <c r="E84" t="s">
        <v>24</v>
      </c>
      <c r="F84" s="3">
        <v>0.43</v>
      </c>
      <c r="I84" s="3" t="s">
        <v>25</v>
      </c>
      <c r="K84" s="3">
        <v>5</v>
      </c>
      <c r="L84" s="3">
        <v>1</v>
      </c>
    </row>
    <row r="85" spans="1:12" ht="16.5" x14ac:dyDescent="0.35">
      <c r="A85" t="s">
        <v>373</v>
      </c>
      <c r="B85" s="3">
        <v>24</v>
      </c>
      <c r="E85" t="s">
        <v>24</v>
      </c>
      <c r="F85" s="3">
        <v>0.43</v>
      </c>
      <c r="I85" s="3" t="s">
        <v>25</v>
      </c>
      <c r="K85" s="3">
        <v>5</v>
      </c>
      <c r="L85" s="3">
        <v>1</v>
      </c>
    </row>
    <row r="86" spans="1:12" ht="16.5" x14ac:dyDescent="0.35">
      <c r="A86" t="s">
        <v>208</v>
      </c>
      <c r="B86" s="3">
        <v>30</v>
      </c>
      <c r="E86" t="s">
        <v>24</v>
      </c>
      <c r="F86" s="3">
        <v>0.43</v>
      </c>
      <c r="I86" s="3" t="s">
        <v>25</v>
      </c>
      <c r="K86" s="3">
        <v>5</v>
      </c>
      <c r="L86" s="3">
        <v>1</v>
      </c>
    </row>
    <row r="87" spans="1:12" ht="16.5" x14ac:dyDescent="0.35">
      <c r="A87" t="s">
        <v>212</v>
      </c>
      <c r="B87" s="3">
        <v>30</v>
      </c>
      <c r="E87" t="s">
        <v>24</v>
      </c>
      <c r="F87" s="3">
        <v>0.43</v>
      </c>
      <c r="I87" s="3" t="s">
        <v>25</v>
      </c>
      <c r="K87" s="3">
        <v>5</v>
      </c>
      <c r="L87" s="3">
        <v>1</v>
      </c>
    </row>
    <row r="88" spans="1:12" ht="16.5" x14ac:dyDescent="0.35">
      <c r="A88" t="s">
        <v>209</v>
      </c>
      <c r="B88" s="3">
        <v>36</v>
      </c>
      <c r="E88" t="s">
        <v>24</v>
      </c>
      <c r="F88" s="3">
        <v>0.43</v>
      </c>
      <c r="I88" s="3" t="s">
        <v>25</v>
      </c>
      <c r="K88" s="3">
        <v>5</v>
      </c>
      <c r="L88" s="3">
        <v>1</v>
      </c>
    </row>
    <row r="89" spans="1:12" ht="16.5" x14ac:dyDescent="0.35">
      <c r="A89" t="s">
        <v>213</v>
      </c>
      <c r="B89" s="3">
        <v>36</v>
      </c>
      <c r="E89" t="s">
        <v>24</v>
      </c>
      <c r="F89" s="3">
        <v>0.43</v>
      </c>
      <c r="I89" s="3" t="s">
        <v>25</v>
      </c>
      <c r="K89" s="3">
        <v>5</v>
      </c>
      <c r="L89" s="3">
        <v>1</v>
      </c>
    </row>
    <row r="90" spans="1:12" ht="16.5" x14ac:dyDescent="0.35">
      <c r="A90" t="s">
        <v>215</v>
      </c>
      <c r="B90" s="3">
        <v>3.3</v>
      </c>
      <c r="E90" t="s">
        <v>24</v>
      </c>
      <c r="F90" s="3">
        <v>0.43</v>
      </c>
      <c r="I90" s="3" t="s">
        <v>25</v>
      </c>
      <c r="K90" s="3">
        <v>5</v>
      </c>
      <c r="L90" s="3">
        <v>1</v>
      </c>
    </row>
    <row r="91" spans="1:12" ht="16.5" x14ac:dyDescent="0.35">
      <c r="A91" t="s">
        <v>214</v>
      </c>
      <c r="B91" s="3">
        <v>3.3</v>
      </c>
      <c r="E91" t="s">
        <v>24</v>
      </c>
      <c r="F91" s="3">
        <v>0.43</v>
      </c>
      <c r="I91" s="3" t="s">
        <v>25</v>
      </c>
      <c r="K91" s="3">
        <v>5</v>
      </c>
      <c r="L91" s="3">
        <v>1</v>
      </c>
    </row>
    <row r="92" spans="1:12" ht="16.5" x14ac:dyDescent="0.35">
      <c r="A92" t="s">
        <v>216</v>
      </c>
      <c r="B92" s="3">
        <v>5.0999999999999996</v>
      </c>
      <c r="E92" t="s">
        <v>24</v>
      </c>
      <c r="F92" s="3">
        <v>0.43</v>
      </c>
      <c r="I92" s="3" t="s">
        <v>25</v>
      </c>
      <c r="K92" s="3">
        <v>5</v>
      </c>
      <c r="L92" s="3">
        <v>1</v>
      </c>
    </row>
    <row r="93" spans="1:12" ht="16.5" x14ac:dyDescent="0.35">
      <c r="A93" t="s">
        <v>217</v>
      </c>
      <c r="B93" s="3">
        <v>5.0999999999999996</v>
      </c>
      <c r="E93" t="s">
        <v>24</v>
      </c>
      <c r="F93" s="3">
        <v>0.43</v>
      </c>
      <c r="I93" s="3" t="s">
        <v>25</v>
      </c>
      <c r="K93" s="3">
        <v>5</v>
      </c>
      <c r="L93" s="3">
        <v>1</v>
      </c>
    </row>
    <row r="94" spans="1:12" ht="16.5" x14ac:dyDescent="0.35">
      <c r="A94" t="s">
        <v>218</v>
      </c>
      <c r="B94" s="3">
        <v>6.2</v>
      </c>
      <c r="E94" t="s">
        <v>24</v>
      </c>
      <c r="F94" s="3">
        <v>0.43</v>
      </c>
      <c r="I94" s="3" t="s">
        <v>25</v>
      </c>
      <c r="K94" s="3">
        <v>5</v>
      </c>
      <c r="L94" s="3">
        <v>1</v>
      </c>
    </row>
    <row r="95" spans="1:12" ht="16.5" x14ac:dyDescent="0.35">
      <c r="A95" t="s">
        <v>219</v>
      </c>
      <c r="B95" s="3">
        <v>6.2</v>
      </c>
      <c r="E95" t="s">
        <v>24</v>
      </c>
      <c r="F95" s="3">
        <v>0.43</v>
      </c>
      <c r="I95" s="3" t="s">
        <v>25</v>
      </c>
      <c r="K95" s="3">
        <v>5</v>
      </c>
      <c r="L95" s="3">
        <v>1</v>
      </c>
    </row>
    <row r="96" spans="1:12" ht="16.5" x14ac:dyDescent="0.35">
      <c r="A96" t="s">
        <v>220</v>
      </c>
      <c r="B96" s="3">
        <v>7.5</v>
      </c>
      <c r="E96" t="s">
        <v>24</v>
      </c>
      <c r="F96" s="3">
        <v>0.43</v>
      </c>
      <c r="I96" s="3" t="s">
        <v>25</v>
      </c>
      <c r="K96" s="3">
        <v>5</v>
      </c>
      <c r="L96" s="3">
        <v>1</v>
      </c>
    </row>
    <row r="97" spans="1:12" ht="16.5" x14ac:dyDescent="0.35">
      <c r="A97" t="s">
        <v>221</v>
      </c>
      <c r="B97" s="3">
        <v>7.5</v>
      </c>
      <c r="E97" t="s">
        <v>24</v>
      </c>
      <c r="F97" s="3">
        <v>0.43</v>
      </c>
      <c r="I97" s="3" t="s">
        <v>25</v>
      </c>
      <c r="K97" s="3">
        <v>5</v>
      </c>
      <c r="L97" s="3">
        <v>1</v>
      </c>
    </row>
    <row r="98" spans="1:12" ht="16.5" x14ac:dyDescent="0.35">
      <c r="A98" t="s">
        <v>222</v>
      </c>
      <c r="B98" s="3">
        <v>10</v>
      </c>
      <c r="E98" t="s">
        <v>124</v>
      </c>
      <c r="F98" s="3">
        <v>0.36</v>
      </c>
      <c r="I98" s="3" t="s">
        <v>25</v>
      </c>
      <c r="K98" s="3">
        <v>5</v>
      </c>
      <c r="L98" s="3">
        <v>1</v>
      </c>
    </row>
    <row r="99" spans="1:12" ht="16.5" x14ac:dyDescent="0.35">
      <c r="A99" t="s">
        <v>242</v>
      </c>
      <c r="B99" s="3">
        <v>10</v>
      </c>
      <c r="E99" t="s">
        <v>124</v>
      </c>
      <c r="F99" s="3">
        <v>0.36</v>
      </c>
      <c r="I99" s="3" t="s">
        <v>25</v>
      </c>
      <c r="K99" s="3">
        <v>5</v>
      </c>
      <c r="L99" s="3">
        <v>1</v>
      </c>
    </row>
    <row r="100" spans="1:12" ht="16.5" x14ac:dyDescent="0.35">
      <c r="A100" t="s">
        <v>223</v>
      </c>
      <c r="B100" s="3">
        <v>11</v>
      </c>
      <c r="E100" t="s">
        <v>124</v>
      </c>
      <c r="F100" s="3">
        <v>0.36</v>
      </c>
      <c r="I100" s="3" t="s">
        <v>25</v>
      </c>
      <c r="K100" s="3">
        <v>5</v>
      </c>
      <c r="L100" s="3">
        <v>1</v>
      </c>
    </row>
    <row r="101" spans="1:12" ht="16.5" x14ac:dyDescent="0.35">
      <c r="A101" t="s">
        <v>243</v>
      </c>
      <c r="B101" s="3">
        <v>11</v>
      </c>
      <c r="E101" t="s">
        <v>124</v>
      </c>
      <c r="F101" s="3">
        <v>0.36</v>
      </c>
      <c r="I101" s="3" t="s">
        <v>25</v>
      </c>
      <c r="K101" s="3">
        <v>5</v>
      </c>
      <c r="L101" s="3">
        <v>1</v>
      </c>
    </row>
    <row r="102" spans="1:12" ht="16.5" x14ac:dyDescent="0.35">
      <c r="A102" t="s">
        <v>224</v>
      </c>
      <c r="B102" s="3">
        <v>12</v>
      </c>
      <c r="E102" t="s">
        <v>124</v>
      </c>
      <c r="F102" s="3">
        <v>0.36</v>
      </c>
      <c r="I102" s="3" t="s">
        <v>25</v>
      </c>
      <c r="K102" s="3">
        <v>5</v>
      </c>
      <c r="L102" s="3">
        <v>1</v>
      </c>
    </row>
    <row r="103" spans="1:12" ht="16.5" x14ac:dyDescent="0.35">
      <c r="A103" t="s">
        <v>244</v>
      </c>
      <c r="B103" s="3">
        <v>12</v>
      </c>
      <c r="E103" t="s">
        <v>124</v>
      </c>
      <c r="F103" s="3">
        <v>0.36</v>
      </c>
      <c r="I103" s="3" t="s">
        <v>25</v>
      </c>
      <c r="K103" s="3">
        <v>5</v>
      </c>
      <c r="L103" s="3">
        <v>1</v>
      </c>
    </row>
    <row r="104" spans="1:12" ht="16.5" x14ac:dyDescent="0.35">
      <c r="A104" t="s">
        <v>245</v>
      </c>
      <c r="B104" s="3">
        <v>13</v>
      </c>
      <c r="E104" t="s">
        <v>124</v>
      </c>
      <c r="F104" s="3">
        <v>0.36</v>
      </c>
      <c r="I104" s="3" t="s">
        <v>25</v>
      </c>
      <c r="K104" s="3">
        <v>5</v>
      </c>
      <c r="L104" s="3">
        <v>1</v>
      </c>
    </row>
    <row r="105" spans="1:12" ht="16.5" x14ac:dyDescent="0.35">
      <c r="A105" t="s">
        <v>246</v>
      </c>
      <c r="B105" s="3">
        <v>13</v>
      </c>
      <c r="E105" t="s">
        <v>124</v>
      </c>
      <c r="F105" s="3">
        <v>0.36</v>
      </c>
      <c r="I105" s="3" t="s">
        <v>25</v>
      </c>
      <c r="K105" s="3">
        <v>5</v>
      </c>
      <c r="L105" s="3">
        <v>1</v>
      </c>
    </row>
    <row r="106" spans="1:12" ht="16.5" x14ac:dyDescent="0.35">
      <c r="A106" t="s">
        <v>225</v>
      </c>
      <c r="B106" s="3">
        <v>20</v>
      </c>
      <c r="E106" t="s">
        <v>124</v>
      </c>
      <c r="F106" s="3">
        <v>0.36</v>
      </c>
      <c r="I106" s="3" t="s">
        <v>25</v>
      </c>
      <c r="K106" s="3">
        <v>5</v>
      </c>
      <c r="L106" s="3">
        <v>1</v>
      </c>
    </row>
    <row r="107" spans="1:12" ht="16.5" x14ac:dyDescent="0.35">
      <c r="A107" t="s">
        <v>226</v>
      </c>
      <c r="B107" s="3">
        <v>20</v>
      </c>
      <c r="E107" t="s">
        <v>124</v>
      </c>
      <c r="F107" s="3">
        <v>0.36</v>
      </c>
      <c r="I107" s="3" t="s">
        <v>25</v>
      </c>
      <c r="K107" s="3">
        <v>5</v>
      </c>
      <c r="L107" s="3">
        <v>1</v>
      </c>
    </row>
    <row r="108" spans="1:12" ht="16.5" x14ac:dyDescent="0.35">
      <c r="A108" t="s">
        <v>227</v>
      </c>
      <c r="B108" s="3">
        <v>22</v>
      </c>
      <c r="E108" t="s">
        <v>124</v>
      </c>
      <c r="F108" s="3">
        <v>0.36</v>
      </c>
      <c r="I108" s="3" t="s">
        <v>25</v>
      </c>
      <c r="K108" s="3">
        <v>5</v>
      </c>
      <c r="L108" s="3">
        <v>1</v>
      </c>
    </row>
    <row r="109" spans="1:12" ht="16.5" x14ac:dyDescent="0.35">
      <c r="A109" t="s">
        <v>228</v>
      </c>
      <c r="B109" s="3">
        <v>22</v>
      </c>
      <c r="E109" t="s">
        <v>124</v>
      </c>
      <c r="F109" s="3">
        <v>0.36</v>
      </c>
      <c r="I109" s="3" t="s">
        <v>25</v>
      </c>
      <c r="K109" s="3">
        <v>5</v>
      </c>
      <c r="L109" s="3">
        <v>1</v>
      </c>
    </row>
    <row r="110" spans="1:12" ht="16.5" x14ac:dyDescent="0.35">
      <c r="A110" t="s">
        <v>229</v>
      </c>
      <c r="B110" s="3">
        <v>24</v>
      </c>
      <c r="E110" t="s">
        <v>124</v>
      </c>
      <c r="F110" s="3">
        <v>0.36</v>
      </c>
      <c r="I110" s="3" t="s">
        <v>25</v>
      </c>
      <c r="K110" s="3">
        <v>5</v>
      </c>
      <c r="L110" s="3">
        <v>1</v>
      </c>
    </row>
    <row r="111" spans="1:12" ht="16.5" x14ac:dyDescent="0.35">
      <c r="A111" t="s">
        <v>247</v>
      </c>
      <c r="B111" s="3">
        <v>24</v>
      </c>
      <c r="E111" t="s">
        <v>124</v>
      </c>
      <c r="F111" s="3">
        <v>0.36</v>
      </c>
      <c r="I111" s="3" t="s">
        <v>25</v>
      </c>
      <c r="K111" s="3">
        <v>5</v>
      </c>
      <c r="L111" s="3">
        <v>1</v>
      </c>
    </row>
    <row r="112" spans="1:12" ht="16.5" x14ac:dyDescent="0.35">
      <c r="A112" t="s">
        <v>230</v>
      </c>
      <c r="B112" s="3">
        <v>30</v>
      </c>
      <c r="E112" t="s">
        <v>124</v>
      </c>
      <c r="F112" s="3">
        <v>0.36</v>
      </c>
      <c r="I112" s="3" t="s">
        <v>25</v>
      </c>
      <c r="K112" s="3">
        <v>5</v>
      </c>
      <c r="L112" s="3">
        <v>1</v>
      </c>
    </row>
    <row r="113" spans="1:12" ht="16.5" x14ac:dyDescent="0.35">
      <c r="A113" t="s">
        <v>231</v>
      </c>
      <c r="B113" s="3">
        <v>30</v>
      </c>
      <c r="E113" t="s">
        <v>124</v>
      </c>
      <c r="F113" s="3">
        <v>0.36</v>
      </c>
      <c r="I113" s="3" t="s">
        <v>25</v>
      </c>
      <c r="K113" s="3">
        <v>5</v>
      </c>
      <c r="L113" s="3">
        <v>1</v>
      </c>
    </row>
    <row r="114" spans="1:12" ht="16.5" x14ac:dyDescent="0.35">
      <c r="A114" t="s">
        <v>232</v>
      </c>
      <c r="B114" s="3">
        <v>36</v>
      </c>
      <c r="E114" t="s">
        <v>124</v>
      </c>
      <c r="F114" s="3">
        <v>0.36</v>
      </c>
      <c r="I114" s="3" t="s">
        <v>25</v>
      </c>
      <c r="K114" s="3">
        <v>5</v>
      </c>
      <c r="L114" s="3">
        <v>1</v>
      </c>
    </row>
    <row r="115" spans="1:12" ht="16.5" x14ac:dyDescent="0.35">
      <c r="A115" t="s">
        <v>233</v>
      </c>
      <c r="B115" s="3">
        <v>36</v>
      </c>
      <c r="E115" t="s">
        <v>124</v>
      </c>
      <c r="F115" s="3">
        <v>0.36</v>
      </c>
      <c r="I115" s="3" t="s">
        <v>25</v>
      </c>
      <c r="K115" s="3">
        <v>5</v>
      </c>
      <c r="L115" s="3">
        <v>1</v>
      </c>
    </row>
    <row r="116" spans="1:12" ht="16.5" x14ac:dyDescent="0.35">
      <c r="A116" t="s">
        <v>234</v>
      </c>
      <c r="B116" s="3">
        <v>3.3</v>
      </c>
      <c r="E116" t="s">
        <v>124</v>
      </c>
      <c r="F116" s="3">
        <v>0.36</v>
      </c>
      <c r="I116" s="3" t="s">
        <v>25</v>
      </c>
      <c r="K116" s="3">
        <v>5</v>
      </c>
      <c r="L116" s="3">
        <v>1</v>
      </c>
    </row>
    <row r="117" spans="1:12" ht="16.5" x14ac:dyDescent="0.35">
      <c r="A117" t="s">
        <v>235</v>
      </c>
      <c r="B117" s="3">
        <v>3.3</v>
      </c>
      <c r="E117" t="s">
        <v>124</v>
      </c>
      <c r="F117" s="3">
        <v>0.36</v>
      </c>
      <c r="I117" s="3" t="s">
        <v>25</v>
      </c>
      <c r="K117" s="3">
        <v>5</v>
      </c>
      <c r="L117" s="3">
        <v>1</v>
      </c>
    </row>
    <row r="118" spans="1:12" ht="16.5" x14ac:dyDescent="0.35">
      <c r="A118" t="s">
        <v>236</v>
      </c>
      <c r="B118" s="3">
        <v>5.0999999999999996</v>
      </c>
      <c r="E118" t="s">
        <v>124</v>
      </c>
      <c r="F118" s="3">
        <v>0.36</v>
      </c>
      <c r="I118" s="3" t="s">
        <v>25</v>
      </c>
      <c r="K118" s="3">
        <v>5</v>
      </c>
      <c r="L118" s="3">
        <v>1</v>
      </c>
    </row>
    <row r="119" spans="1:12" ht="16.5" x14ac:dyDescent="0.35">
      <c r="A119" t="s">
        <v>237</v>
      </c>
      <c r="B119" s="3">
        <v>5.0999999999999996</v>
      </c>
      <c r="E119" t="s">
        <v>124</v>
      </c>
      <c r="F119" s="3">
        <v>0.36</v>
      </c>
      <c r="I119" s="3" t="s">
        <v>25</v>
      </c>
      <c r="K119" s="3">
        <v>5</v>
      </c>
      <c r="L119" s="3">
        <v>1</v>
      </c>
    </row>
    <row r="120" spans="1:12" ht="16.5" x14ac:dyDescent="0.35">
      <c r="A120" t="s">
        <v>238</v>
      </c>
      <c r="B120" s="3">
        <v>6.2</v>
      </c>
      <c r="E120" t="s">
        <v>124</v>
      </c>
      <c r="F120" s="3">
        <v>0.36</v>
      </c>
      <c r="I120" s="3" t="s">
        <v>25</v>
      </c>
      <c r="K120" s="3">
        <v>5</v>
      </c>
      <c r="L120" s="3">
        <v>1</v>
      </c>
    </row>
    <row r="121" spans="1:12" ht="16.5" x14ac:dyDescent="0.35">
      <c r="A121" t="s">
        <v>239</v>
      </c>
      <c r="B121" s="3">
        <v>6.2</v>
      </c>
      <c r="E121" t="s">
        <v>124</v>
      </c>
      <c r="F121" s="3">
        <v>0.36</v>
      </c>
      <c r="I121" s="3" t="s">
        <v>25</v>
      </c>
      <c r="K121" s="3">
        <v>5</v>
      </c>
      <c r="L121" s="3">
        <v>1</v>
      </c>
    </row>
    <row r="122" spans="1:12" ht="16.5" x14ac:dyDescent="0.35">
      <c r="A122" t="s">
        <v>240</v>
      </c>
      <c r="B122" s="3">
        <v>7.5</v>
      </c>
      <c r="E122" t="s">
        <v>124</v>
      </c>
      <c r="F122" s="3">
        <v>0.36</v>
      </c>
      <c r="I122" s="3" t="s">
        <v>25</v>
      </c>
      <c r="K122" s="3">
        <v>5</v>
      </c>
      <c r="L122" s="3">
        <v>1</v>
      </c>
    </row>
    <row r="123" spans="1:12" ht="16.5" x14ac:dyDescent="0.35">
      <c r="A123" t="s">
        <v>241</v>
      </c>
      <c r="B123" s="3">
        <v>7.5</v>
      </c>
      <c r="E123" t="s">
        <v>124</v>
      </c>
      <c r="F123" s="3">
        <v>0.36</v>
      </c>
      <c r="I123" s="3" t="s">
        <v>25</v>
      </c>
      <c r="K123" s="3">
        <v>5</v>
      </c>
      <c r="L123" s="3">
        <v>1</v>
      </c>
    </row>
    <row r="124" spans="1:12" ht="16.5" x14ac:dyDescent="0.35">
      <c r="A124" t="s">
        <v>248</v>
      </c>
      <c r="B124" s="3">
        <v>10</v>
      </c>
      <c r="E124" t="s">
        <v>31</v>
      </c>
      <c r="F124" s="3">
        <v>0.25</v>
      </c>
      <c r="I124" s="3" t="s">
        <v>25</v>
      </c>
      <c r="K124" s="3">
        <v>5</v>
      </c>
      <c r="L124" s="3">
        <v>1</v>
      </c>
    </row>
    <row r="125" spans="1:12" ht="16.5" x14ac:dyDescent="0.35">
      <c r="A125" t="s">
        <v>249</v>
      </c>
      <c r="B125" s="3">
        <v>10</v>
      </c>
      <c r="E125" t="s">
        <v>31</v>
      </c>
      <c r="F125" s="3">
        <v>0.25</v>
      </c>
      <c r="I125" s="3" t="s">
        <v>25</v>
      </c>
      <c r="K125" s="3">
        <v>5</v>
      </c>
      <c r="L125" s="3">
        <v>1</v>
      </c>
    </row>
    <row r="126" spans="1:12" ht="16.5" x14ac:dyDescent="0.35">
      <c r="A126" t="s">
        <v>250</v>
      </c>
      <c r="B126" s="3">
        <v>11</v>
      </c>
      <c r="E126" t="s">
        <v>31</v>
      </c>
      <c r="F126" s="3">
        <v>0.25</v>
      </c>
      <c r="I126" s="3" t="s">
        <v>25</v>
      </c>
      <c r="K126" s="3">
        <v>5</v>
      </c>
      <c r="L126" s="3">
        <v>1</v>
      </c>
    </row>
    <row r="127" spans="1:12" ht="16.5" x14ac:dyDescent="0.35">
      <c r="A127" t="s">
        <v>251</v>
      </c>
      <c r="B127" s="3">
        <v>11</v>
      </c>
      <c r="E127" t="s">
        <v>31</v>
      </c>
      <c r="F127" s="3">
        <v>0.25</v>
      </c>
      <c r="I127" s="3" t="s">
        <v>25</v>
      </c>
      <c r="K127" s="3">
        <v>5</v>
      </c>
      <c r="L127" s="3">
        <v>1</v>
      </c>
    </row>
    <row r="128" spans="1:12" ht="16.5" x14ac:dyDescent="0.35">
      <c r="A128" t="s">
        <v>252</v>
      </c>
      <c r="B128" s="3">
        <v>12</v>
      </c>
      <c r="E128" t="s">
        <v>31</v>
      </c>
      <c r="F128" s="3">
        <v>0.25</v>
      </c>
      <c r="I128" s="3" t="s">
        <v>25</v>
      </c>
      <c r="K128" s="3">
        <v>5</v>
      </c>
      <c r="L128" s="3">
        <v>1</v>
      </c>
    </row>
    <row r="129" spans="1:12" ht="16.5" x14ac:dyDescent="0.35">
      <c r="A129" t="s">
        <v>253</v>
      </c>
      <c r="B129" s="3">
        <v>12</v>
      </c>
      <c r="E129" t="s">
        <v>31</v>
      </c>
      <c r="F129" s="3">
        <v>0.25</v>
      </c>
      <c r="I129" s="3" t="s">
        <v>25</v>
      </c>
      <c r="K129" s="3">
        <v>5</v>
      </c>
      <c r="L129" s="3">
        <v>1</v>
      </c>
    </row>
    <row r="130" spans="1:12" ht="16.5" x14ac:dyDescent="0.35">
      <c r="A130" t="s">
        <v>254</v>
      </c>
      <c r="B130" s="3">
        <v>13</v>
      </c>
      <c r="E130" t="s">
        <v>31</v>
      </c>
      <c r="F130" s="3">
        <v>0.25</v>
      </c>
      <c r="I130" s="3" t="s">
        <v>25</v>
      </c>
      <c r="K130" s="3">
        <v>5</v>
      </c>
      <c r="L130" s="3">
        <v>1</v>
      </c>
    </row>
    <row r="131" spans="1:12" ht="16.5" x14ac:dyDescent="0.35">
      <c r="A131" t="s">
        <v>255</v>
      </c>
      <c r="B131" s="3">
        <v>13</v>
      </c>
      <c r="E131" t="s">
        <v>31</v>
      </c>
      <c r="F131" s="3">
        <v>0.25</v>
      </c>
      <c r="I131" s="3" t="s">
        <v>25</v>
      </c>
      <c r="K131" s="3">
        <v>5</v>
      </c>
      <c r="L131" s="3">
        <v>1</v>
      </c>
    </row>
    <row r="132" spans="1:12" ht="16.5" x14ac:dyDescent="0.35">
      <c r="A132" t="s">
        <v>256</v>
      </c>
      <c r="B132" s="3">
        <v>20</v>
      </c>
      <c r="E132" t="s">
        <v>31</v>
      </c>
      <c r="F132" s="3">
        <v>0.25</v>
      </c>
      <c r="I132" s="3" t="s">
        <v>25</v>
      </c>
      <c r="K132" s="3">
        <v>5</v>
      </c>
      <c r="L132" s="3">
        <v>1</v>
      </c>
    </row>
    <row r="133" spans="1:12" ht="16.5" x14ac:dyDescent="0.35">
      <c r="A133" t="s">
        <v>257</v>
      </c>
      <c r="B133" s="3">
        <v>20</v>
      </c>
      <c r="E133" t="s">
        <v>31</v>
      </c>
      <c r="F133" s="3">
        <v>0.25</v>
      </c>
      <c r="I133" s="3" t="s">
        <v>25</v>
      </c>
      <c r="K133" s="3">
        <v>5</v>
      </c>
      <c r="L133" s="3">
        <v>1</v>
      </c>
    </row>
    <row r="134" spans="1:12" ht="16.5" x14ac:dyDescent="0.35">
      <c r="A134" t="s">
        <v>258</v>
      </c>
      <c r="B134" s="3">
        <v>22</v>
      </c>
      <c r="E134" t="s">
        <v>31</v>
      </c>
      <c r="F134" s="3">
        <v>0.25</v>
      </c>
      <c r="I134" s="3" t="s">
        <v>25</v>
      </c>
      <c r="K134" s="3">
        <v>5</v>
      </c>
      <c r="L134" s="3">
        <v>1</v>
      </c>
    </row>
    <row r="135" spans="1:12" ht="16.5" x14ac:dyDescent="0.35">
      <c r="A135" t="s">
        <v>259</v>
      </c>
      <c r="B135" s="3">
        <v>22</v>
      </c>
      <c r="E135" t="s">
        <v>31</v>
      </c>
      <c r="F135" s="3">
        <v>0.25</v>
      </c>
      <c r="I135" s="3" t="s">
        <v>25</v>
      </c>
      <c r="K135" s="3">
        <v>5</v>
      </c>
      <c r="L135" s="3">
        <v>1</v>
      </c>
    </row>
    <row r="136" spans="1:12" ht="16.5" x14ac:dyDescent="0.35">
      <c r="A136" t="s">
        <v>273</v>
      </c>
      <c r="B136" s="3">
        <v>24</v>
      </c>
      <c r="E136" t="s">
        <v>31</v>
      </c>
      <c r="F136" s="3">
        <v>0.25</v>
      </c>
      <c r="I136" s="3" t="s">
        <v>25</v>
      </c>
      <c r="K136" s="3">
        <v>5</v>
      </c>
      <c r="L136" s="3">
        <v>1</v>
      </c>
    </row>
    <row r="137" spans="1:12" ht="16.5" x14ac:dyDescent="0.35">
      <c r="A137" t="s">
        <v>272</v>
      </c>
      <c r="B137" s="3">
        <v>24</v>
      </c>
      <c r="E137" t="s">
        <v>31</v>
      </c>
      <c r="F137" s="3">
        <v>0.25</v>
      </c>
      <c r="I137" s="3" t="s">
        <v>25</v>
      </c>
      <c r="K137" s="3">
        <v>5</v>
      </c>
      <c r="L137" s="3">
        <v>1</v>
      </c>
    </row>
    <row r="138" spans="1:12" ht="16.5" x14ac:dyDescent="0.35">
      <c r="A138" t="s">
        <v>271</v>
      </c>
      <c r="B138" s="3">
        <v>30</v>
      </c>
      <c r="E138" t="s">
        <v>31</v>
      </c>
      <c r="F138" s="3">
        <v>0.25</v>
      </c>
      <c r="I138" s="3" t="s">
        <v>25</v>
      </c>
      <c r="K138" s="3">
        <v>5</v>
      </c>
      <c r="L138" s="3">
        <v>1</v>
      </c>
    </row>
    <row r="139" spans="1:12" ht="16.5" x14ac:dyDescent="0.35">
      <c r="A139" t="s">
        <v>270</v>
      </c>
      <c r="B139" s="3">
        <v>30</v>
      </c>
      <c r="E139" t="s">
        <v>31</v>
      </c>
      <c r="F139" s="3">
        <v>0.25</v>
      </c>
      <c r="I139" s="3" t="s">
        <v>25</v>
      </c>
      <c r="K139" s="3">
        <v>5</v>
      </c>
      <c r="L139" s="3">
        <v>1</v>
      </c>
    </row>
    <row r="140" spans="1:12" ht="16.5" x14ac:dyDescent="0.35">
      <c r="A140" t="s">
        <v>269</v>
      </c>
      <c r="B140" s="3">
        <v>36</v>
      </c>
      <c r="E140" t="s">
        <v>31</v>
      </c>
      <c r="F140" s="3">
        <v>0.25</v>
      </c>
      <c r="I140" s="3" t="s">
        <v>25</v>
      </c>
      <c r="K140" s="3">
        <v>5</v>
      </c>
      <c r="L140" s="3">
        <v>1</v>
      </c>
    </row>
    <row r="141" spans="1:12" ht="16.5" x14ac:dyDescent="0.35">
      <c r="A141" t="s">
        <v>268</v>
      </c>
      <c r="B141" s="3">
        <v>36</v>
      </c>
      <c r="E141" t="s">
        <v>31</v>
      </c>
      <c r="F141" s="3">
        <v>0.25</v>
      </c>
      <c r="I141" s="3" t="s">
        <v>25</v>
      </c>
      <c r="K141" s="3">
        <v>5</v>
      </c>
      <c r="L141" s="3">
        <v>1</v>
      </c>
    </row>
    <row r="142" spans="1:12" ht="16.5" x14ac:dyDescent="0.35">
      <c r="A142" t="s">
        <v>267</v>
      </c>
      <c r="B142" s="3">
        <v>3.3</v>
      </c>
      <c r="E142" t="s">
        <v>31</v>
      </c>
      <c r="F142" s="3">
        <v>0.25</v>
      </c>
      <c r="I142" s="3" t="s">
        <v>25</v>
      </c>
      <c r="K142" s="3">
        <v>5</v>
      </c>
      <c r="L142" s="3">
        <v>1</v>
      </c>
    </row>
    <row r="143" spans="1:12" ht="16.5" x14ac:dyDescent="0.35">
      <c r="A143" t="s">
        <v>266</v>
      </c>
      <c r="B143" s="3">
        <v>3.3</v>
      </c>
      <c r="E143" t="s">
        <v>31</v>
      </c>
      <c r="F143" s="3">
        <v>0.25</v>
      </c>
      <c r="I143" s="3" t="s">
        <v>25</v>
      </c>
      <c r="K143" s="3">
        <v>5</v>
      </c>
      <c r="L143" s="3">
        <v>1</v>
      </c>
    </row>
    <row r="144" spans="1:12" ht="16.5" x14ac:dyDescent="0.35">
      <c r="A144" t="s">
        <v>265</v>
      </c>
      <c r="B144" s="3">
        <v>5.0999999999999996</v>
      </c>
      <c r="E144" t="s">
        <v>31</v>
      </c>
      <c r="F144" s="3">
        <v>0.25</v>
      </c>
      <c r="I144" s="3" t="s">
        <v>25</v>
      </c>
      <c r="K144" s="3">
        <v>5</v>
      </c>
      <c r="L144" s="3">
        <v>1</v>
      </c>
    </row>
    <row r="145" spans="1:12" ht="16.5" x14ac:dyDescent="0.35">
      <c r="A145" t="s">
        <v>264</v>
      </c>
      <c r="B145" s="3">
        <v>5.0999999999999996</v>
      </c>
      <c r="E145" t="s">
        <v>31</v>
      </c>
      <c r="F145" s="3">
        <v>0.25</v>
      </c>
      <c r="I145" s="3" t="s">
        <v>25</v>
      </c>
      <c r="K145" s="3">
        <v>5</v>
      </c>
      <c r="L145" s="3">
        <v>1</v>
      </c>
    </row>
    <row r="146" spans="1:12" ht="16.5" x14ac:dyDescent="0.35">
      <c r="A146" t="s">
        <v>263</v>
      </c>
      <c r="B146" s="3">
        <v>6.2</v>
      </c>
      <c r="E146" t="s">
        <v>31</v>
      </c>
      <c r="F146" s="3">
        <v>0.25</v>
      </c>
      <c r="I146" s="3" t="s">
        <v>25</v>
      </c>
      <c r="K146" s="3">
        <v>5</v>
      </c>
      <c r="L146" s="3">
        <v>1</v>
      </c>
    </row>
    <row r="147" spans="1:12" ht="16.5" x14ac:dyDescent="0.35">
      <c r="A147" t="s">
        <v>262</v>
      </c>
      <c r="B147" s="3">
        <v>6.2</v>
      </c>
      <c r="E147" t="s">
        <v>31</v>
      </c>
      <c r="F147" s="3">
        <v>0.25</v>
      </c>
      <c r="I147" s="3" t="s">
        <v>25</v>
      </c>
      <c r="K147" s="3">
        <v>5</v>
      </c>
      <c r="L147" s="3">
        <v>1</v>
      </c>
    </row>
    <row r="148" spans="1:12" ht="16.5" x14ac:dyDescent="0.35">
      <c r="A148" t="s">
        <v>261</v>
      </c>
      <c r="B148" s="3">
        <v>7.5</v>
      </c>
      <c r="E148" t="s">
        <v>31</v>
      </c>
      <c r="F148" s="3">
        <v>0.25</v>
      </c>
      <c r="I148" s="3" t="s">
        <v>25</v>
      </c>
      <c r="K148" s="3">
        <v>5</v>
      </c>
      <c r="L148" s="3">
        <v>1</v>
      </c>
    </row>
    <row r="149" spans="1:12" ht="16.5" x14ac:dyDescent="0.35">
      <c r="A149" t="s">
        <v>260</v>
      </c>
      <c r="B149" s="3">
        <v>7.5</v>
      </c>
      <c r="E149" t="s">
        <v>31</v>
      </c>
      <c r="F149" s="3">
        <v>0.25</v>
      </c>
      <c r="I149" s="3" t="s">
        <v>25</v>
      </c>
      <c r="K149" s="3">
        <v>5</v>
      </c>
      <c r="L149" s="3">
        <v>1</v>
      </c>
    </row>
    <row r="150" spans="1:12" ht="16.5" x14ac:dyDescent="0.35">
      <c r="A150" t="s">
        <v>274</v>
      </c>
      <c r="B150" s="3">
        <v>10</v>
      </c>
      <c r="E150" t="s">
        <v>320</v>
      </c>
      <c r="F150" s="3">
        <v>0.3</v>
      </c>
      <c r="I150" s="3" t="s">
        <v>25</v>
      </c>
      <c r="K150" s="3">
        <v>5</v>
      </c>
      <c r="L150" s="3">
        <v>1</v>
      </c>
    </row>
    <row r="151" spans="1:12" ht="16.5" x14ac:dyDescent="0.35">
      <c r="A151" t="s">
        <v>275</v>
      </c>
      <c r="B151" s="3">
        <v>10</v>
      </c>
      <c r="E151" t="s">
        <v>320</v>
      </c>
      <c r="F151" s="3">
        <v>0.3</v>
      </c>
      <c r="I151" s="3" t="s">
        <v>25</v>
      </c>
      <c r="K151" s="3">
        <v>5</v>
      </c>
      <c r="L151" s="3">
        <v>1</v>
      </c>
    </row>
    <row r="152" spans="1:12" ht="16.5" x14ac:dyDescent="0.35">
      <c r="A152" t="s">
        <v>277</v>
      </c>
      <c r="B152" s="3">
        <v>11</v>
      </c>
      <c r="E152" t="s">
        <v>320</v>
      </c>
      <c r="F152" s="3">
        <v>0.3</v>
      </c>
      <c r="I152" s="3" t="s">
        <v>25</v>
      </c>
      <c r="K152" s="3">
        <v>5</v>
      </c>
      <c r="L152" s="3">
        <v>1</v>
      </c>
    </row>
    <row r="153" spans="1:12" ht="16.5" x14ac:dyDescent="0.35">
      <c r="A153" t="s">
        <v>276</v>
      </c>
      <c r="B153" s="3">
        <v>11</v>
      </c>
      <c r="E153" t="s">
        <v>320</v>
      </c>
      <c r="F153" s="3">
        <v>0.3</v>
      </c>
      <c r="I153" s="3" t="s">
        <v>25</v>
      </c>
      <c r="K153" s="3">
        <v>5</v>
      </c>
      <c r="L153" s="3">
        <v>1</v>
      </c>
    </row>
    <row r="154" spans="1:12" ht="16.5" x14ac:dyDescent="0.35">
      <c r="A154" t="s">
        <v>318</v>
      </c>
      <c r="B154" s="3">
        <v>12</v>
      </c>
      <c r="E154" t="s">
        <v>320</v>
      </c>
      <c r="F154" s="3">
        <v>0.3</v>
      </c>
      <c r="I154" s="3" t="s">
        <v>25</v>
      </c>
      <c r="K154" s="3">
        <v>5</v>
      </c>
      <c r="L154" s="3">
        <v>1</v>
      </c>
    </row>
    <row r="155" spans="1:12" ht="16.5" x14ac:dyDescent="0.35">
      <c r="A155" t="s">
        <v>319</v>
      </c>
      <c r="B155" s="3">
        <v>12</v>
      </c>
      <c r="E155" t="s">
        <v>320</v>
      </c>
      <c r="F155" s="3">
        <v>0.3</v>
      </c>
      <c r="I155" s="3" t="s">
        <v>25</v>
      </c>
      <c r="K155" s="3">
        <v>5</v>
      </c>
      <c r="L155" s="3">
        <v>1</v>
      </c>
    </row>
    <row r="156" spans="1:12" ht="16.5" x14ac:dyDescent="0.35">
      <c r="A156" t="s">
        <v>278</v>
      </c>
      <c r="B156" s="3">
        <v>13</v>
      </c>
      <c r="E156" t="s">
        <v>320</v>
      </c>
      <c r="F156" s="3">
        <v>0.3</v>
      </c>
      <c r="I156" s="3" t="s">
        <v>25</v>
      </c>
      <c r="K156" s="3">
        <v>5</v>
      </c>
      <c r="L156" s="3">
        <v>1</v>
      </c>
    </row>
    <row r="157" spans="1:12" ht="16.5" x14ac:dyDescent="0.35">
      <c r="A157" t="s">
        <v>279</v>
      </c>
      <c r="B157" s="3">
        <v>13</v>
      </c>
      <c r="E157" t="s">
        <v>320</v>
      </c>
      <c r="F157" s="3">
        <v>0.3</v>
      </c>
      <c r="I157" s="3" t="s">
        <v>25</v>
      </c>
      <c r="K157" s="3">
        <v>5</v>
      </c>
      <c r="L157" s="3">
        <v>1</v>
      </c>
    </row>
    <row r="158" spans="1:12" ht="16.5" x14ac:dyDescent="0.35">
      <c r="A158" t="s">
        <v>280</v>
      </c>
      <c r="B158" s="3">
        <v>15</v>
      </c>
      <c r="E158" t="s">
        <v>320</v>
      </c>
      <c r="F158" s="3">
        <v>0.3</v>
      </c>
      <c r="I158" s="3" t="s">
        <v>25</v>
      </c>
      <c r="K158" s="3">
        <v>5</v>
      </c>
      <c r="L158" s="3">
        <v>1</v>
      </c>
    </row>
    <row r="159" spans="1:12" ht="16.5" x14ac:dyDescent="0.35">
      <c r="A159" t="s">
        <v>281</v>
      </c>
      <c r="B159" s="3">
        <v>15</v>
      </c>
      <c r="E159" t="s">
        <v>320</v>
      </c>
      <c r="F159" s="3">
        <v>0.3</v>
      </c>
      <c r="I159" s="3" t="s">
        <v>25</v>
      </c>
      <c r="K159" s="3">
        <v>5</v>
      </c>
      <c r="L159" s="3">
        <v>1</v>
      </c>
    </row>
    <row r="160" spans="1:12" ht="16.5" x14ac:dyDescent="0.35">
      <c r="A160" t="s">
        <v>282</v>
      </c>
      <c r="B160" s="3">
        <v>16</v>
      </c>
      <c r="E160" t="s">
        <v>320</v>
      </c>
      <c r="F160" s="3">
        <v>0.3</v>
      </c>
      <c r="I160" s="3" t="s">
        <v>25</v>
      </c>
      <c r="K160" s="3">
        <v>5</v>
      </c>
      <c r="L160" s="3">
        <v>1</v>
      </c>
    </row>
    <row r="161" spans="1:12" ht="16.5" x14ac:dyDescent="0.35">
      <c r="A161" t="s">
        <v>283</v>
      </c>
      <c r="B161" s="3">
        <v>16</v>
      </c>
      <c r="E161" t="s">
        <v>320</v>
      </c>
      <c r="F161" s="3">
        <v>0.3</v>
      </c>
      <c r="I161" s="3" t="s">
        <v>25</v>
      </c>
      <c r="K161" s="3">
        <v>5</v>
      </c>
      <c r="L161" s="3">
        <v>1</v>
      </c>
    </row>
    <row r="162" spans="1:12" ht="16.5" x14ac:dyDescent="0.35">
      <c r="A162" t="s">
        <v>284</v>
      </c>
      <c r="B162" s="3">
        <v>18</v>
      </c>
      <c r="E162" t="s">
        <v>320</v>
      </c>
      <c r="F162" s="3">
        <v>0.3</v>
      </c>
      <c r="I162" s="3" t="s">
        <v>25</v>
      </c>
      <c r="K162" s="3">
        <v>5</v>
      </c>
      <c r="L162" s="3">
        <v>1</v>
      </c>
    </row>
    <row r="163" spans="1:12" ht="16.5" x14ac:dyDescent="0.35">
      <c r="A163" t="s">
        <v>285</v>
      </c>
      <c r="B163" s="3">
        <v>18</v>
      </c>
      <c r="E163" t="s">
        <v>320</v>
      </c>
      <c r="F163" s="3">
        <v>0.3</v>
      </c>
      <c r="I163" s="3" t="s">
        <v>25</v>
      </c>
      <c r="K163" s="3">
        <v>5</v>
      </c>
      <c r="L163" s="3">
        <v>1</v>
      </c>
    </row>
    <row r="164" spans="1:12" ht="16.5" x14ac:dyDescent="0.35">
      <c r="A164" t="s">
        <v>286</v>
      </c>
      <c r="B164" s="3">
        <v>20</v>
      </c>
      <c r="E164" t="s">
        <v>320</v>
      </c>
      <c r="F164" s="3">
        <v>0.3</v>
      </c>
      <c r="I164" s="3" t="s">
        <v>25</v>
      </c>
      <c r="K164" s="3">
        <v>5</v>
      </c>
      <c r="L164" s="3">
        <v>1</v>
      </c>
    </row>
    <row r="165" spans="1:12" ht="16.5" x14ac:dyDescent="0.35">
      <c r="A165" t="s">
        <v>287</v>
      </c>
      <c r="B165" s="3">
        <v>20</v>
      </c>
      <c r="E165" t="s">
        <v>320</v>
      </c>
      <c r="F165" s="3">
        <v>0.3</v>
      </c>
      <c r="I165" s="3" t="s">
        <v>25</v>
      </c>
      <c r="K165" s="3">
        <v>5</v>
      </c>
      <c r="L165" s="3">
        <v>1</v>
      </c>
    </row>
    <row r="166" spans="1:12" ht="16.5" x14ac:dyDescent="0.35">
      <c r="A166" t="s">
        <v>288</v>
      </c>
      <c r="B166" s="3">
        <v>22</v>
      </c>
      <c r="E166" t="s">
        <v>320</v>
      </c>
      <c r="F166" s="3">
        <v>0.3</v>
      </c>
      <c r="I166" s="3" t="s">
        <v>25</v>
      </c>
      <c r="K166" s="3">
        <v>5</v>
      </c>
      <c r="L166" s="3">
        <v>1</v>
      </c>
    </row>
    <row r="167" spans="1:12" ht="16.5" x14ac:dyDescent="0.35">
      <c r="A167" t="s">
        <v>289</v>
      </c>
      <c r="B167" s="3">
        <v>22</v>
      </c>
      <c r="E167" t="s">
        <v>320</v>
      </c>
      <c r="F167" s="3">
        <v>0.3</v>
      </c>
      <c r="I167" s="3" t="s">
        <v>25</v>
      </c>
      <c r="K167" s="3">
        <v>5</v>
      </c>
      <c r="L167" s="3">
        <v>1</v>
      </c>
    </row>
    <row r="168" spans="1:12" ht="16.5" x14ac:dyDescent="0.35">
      <c r="A168" t="s">
        <v>290</v>
      </c>
      <c r="B168" s="3">
        <v>24</v>
      </c>
      <c r="E168" t="s">
        <v>320</v>
      </c>
      <c r="F168" s="3">
        <v>0.3</v>
      </c>
      <c r="I168" s="3" t="s">
        <v>25</v>
      </c>
      <c r="K168" s="3">
        <v>5</v>
      </c>
      <c r="L168" s="3">
        <v>1</v>
      </c>
    </row>
    <row r="169" spans="1:12" ht="16.5" x14ac:dyDescent="0.35">
      <c r="A169" t="s">
        <v>291</v>
      </c>
      <c r="B169" s="3">
        <v>24</v>
      </c>
      <c r="E169" t="s">
        <v>320</v>
      </c>
      <c r="F169" s="3">
        <v>0.3</v>
      </c>
      <c r="I169" s="3" t="s">
        <v>25</v>
      </c>
      <c r="K169" s="3">
        <v>5</v>
      </c>
      <c r="L169" s="3">
        <v>1</v>
      </c>
    </row>
    <row r="170" spans="1:12" ht="16.5" x14ac:dyDescent="0.35">
      <c r="A170" t="s">
        <v>292</v>
      </c>
      <c r="B170" s="3">
        <v>27</v>
      </c>
      <c r="E170" t="s">
        <v>320</v>
      </c>
      <c r="F170" s="3">
        <v>0.3</v>
      </c>
      <c r="I170" s="3" t="s">
        <v>25</v>
      </c>
      <c r="K170" s="3">
        <v>5</v>
      </c>
      <c r="L170" s="3">
        <v>1</v>
      </c>
    </row>
    <row r="171" spans="1:12" ht="16.5" x14ac:dyDescent="0.35">
      <c r="A171" t="s">
        <v>293</v>
      </c>
      <c r="B171" s="3">
        <v>27</v>
      </c>
      <c r="E171" t="s">
        <v>320</v>
      </c>
      <c r="F171" s="3">
        <v>0.3</v>
      </c>
      <c r="I171" s="3" t="s">
        <v>25</v>
      </c>
      <c r="K171" s="3">
        <v>5</v>
      </c>
      <c r="L171" s="3">
        <v>1</v>
      </c>
    </row>
    <row r="172" spans="1:12" ht="16.5" x14ac:dyDescent="0.35">
      <c r="A172" t="s">
        <v>295</v>
      </c>
      <c r="B172" s="3">
        <v>30</v>
      </c>
      <c r="E172" t="s">
        <v>320</v>
      </c>
      <c r="F172" s="3">
        <v>0.3</v>
      </c>
      <c r="I172" s="3" t="s">
        <v>25</v>
      </c>
      <c r="K172" s="3">
        <v>5</v>
      </c>
      <c r="L172" s="3">
        <v>1</v>
      </c>
    </row>
    <row r="173" spans="1:12" ht="16.5" x14ac:dyDescent="0.35">
      <c r="A173" t="s">
        <v>294</v>
      </c>
      <c r="B173" s="3">
        <v>30</v>
      </c>
      <c r="E173" t="s">
        <v>320</v>
      </c>
      <c r="F173" s="3">
        <v>0.3</v>
      </c>
      <c r="I173" s="3" t="s">
        <v>25</v>
      </c>
      <c r="K173" s="3">
        <v>5</v>
      </c>
      <c r="L173" s="3">
        <v>1</v>
      </c>
    </row>
    <row r="174" spans="1:12" ht="16.5" x14ac:dyDescent="0.35">
      <c r="A174" t="s">
        <v>296</v>
      </c>
      <c r="B174" s="3">
        <v>33</v>
      </c>
      <c r="E174" t="s">
        <v>320</v>
      </c>
      <c r="F174" s="3">
        <v>0.3</v>
      </c>
      <c r="I174" s="3" t="s">
        <v>25</v>
      </c>
      <c r="K174" s="3">
        <v>5</v>
      </c>
      <c r="L174" s="3">
        <v>1</v>
      </c>
    </row>
    <row r="175" spans="1:12" ht="16.5" x14ac:dyDescent="0.35">
      <c r="A175" t="s">
        <v>297</v>
      </c>
      <c r="B175" s="3">
        <v>33</v>
      </c>
      <c r="E175" t="s">
        <v>320</v>
      </c>
      <c r="F175" s="3">
        <v>0.3</v>
      </c>
      <c r="I175" s="3" t="s">
        <v>25</v>
      </c>
      <c r="K175" s="3">
        <v>5</v>
      </c>
      <c r="L175" s="3">
        <v>1</v>
      </c>
    </row>
    <row r="176" spans="1:12" ht="16.5" x14ac:dyDescent="0.35">
      <c r="A176" t="s">
        <v>298</v>
      </c>
      <c r="B176" s="3">
        <v>36</v>
      </c>
      <c r="E176" t="s">
        <v>320</v>
      </c>
      <c r="F176" s="3">
        <v>0.3</v>
      </c>
      <c r="I176" s="3" t="s">
        <v>25</v>
      </c>
      <c r="K176" s="3">
        <v>5</v>
      </c>
      <c r="L176" s="3">
        <v>1</v>
      </c>
    </row>
    <row r="177" spans="1:12" ht="16.5" x14ac:dyDescent="0.35">
      <c r="A177" t="s">
        <v>299</v>
      </c>
      <c r="B177" s="3">
        <v>36</v>
      </c>
      <c r="E177" t="s">
        <v>320</v>
      </c>
      <c r="F177" s="3">
        <v>0.3</v>
      </c>
      <c r="I177" s="3" t="s">
        <v>25</v>
      </c>
      <c r="K177" s="3">
        <v>5</v>
      </c>
      <c r="L177" s="3">
        <v>1</v>
      </c>
    </row>
    <row r="178" spans="1:12" ht="16.5" x14ac:dyDescent="0.35">
      <c r="A178" t="s">
        <v>300</v>
      </c>
      <c r="B178" s="3">
        <v>39</v>
      </c>
      <c r="E178" t="s">
        <v>320</v>
      </c>
      <c r="F178" s="3">
        <v>0.3</v>
      </c>
      <c r="I178" s="3" t="s">
        <v>25</v>
      </c>
      <c r="K178" s="3">
        <v>5</v>
      </c>
      <c r="L178" s="3">
        <v>1</v>
      </c>
    </row>
    <row r="179" spans="1:12" ht="16.5" x14ac:dyDescent="0.35">
      <c r="A179" t="s">
        <v>301</v>
      </c>
      <c r="B179" s="3">
        <v>39</v>
      </c>
      <c r="E179" t="s">
        <v>320</v>
      </c>
      <c r="F179" s="3">
        <v>0.3</v>
      </c>
      <c r="I179" s="3" t="s">
        <v>25</v>
      </c>
      <c r="K179" s="3">
        <v>5</v>
      </c>
      <c r="L179" s="3">
        <v>1</v>
      </c>
    </row>
    <row r="180" spans="1:12" ht="16.5" x14ac:dyDescent="0.35">
      <c r="A180" t="s">
        <v>302</v>
      </c>
      <c r="B180" s="3">
        <v>3.3</v>
      </c>
      <c r="E180" t="s">
        <v>320</v>
      </c>
      <c r="F180" s="3">
        <v>0.3</v>
      </c>
      <c r="I180" s="3" t="s">
        <v>25</v>
      </c>
      <c r="K180" s="3">
        <v>5</v>
      </c>
      <c r="L180" s="3">
        <v>1</v>
      </c>
    </row>
    <row r="181" spans="1:12" ht="16.5" x14ac:dyDescent="0.35">
      <c r="A181" t="s">
        <v>303</v>
      </c>
      <c r="B181" s="3">
        <v>3.3</v>
      </c>
      <c r="E181" t="s">
        <v>320</v>
      </c>
      <c r="F181" s="3">
        <v>0.3</v>
      </c>
      <c r="I181" s="3" t="s">
        <v>25</v>
      </c>
      <c r="K181" s="3">
        <v>5</v>
      </c>
      <c r="L181" s="3">
        <v>1</v>
      </c>
    </row>
    <row r="182" spans="1:12" ht="16.5" x14ac:dyDescent="0.35">
      <c r="A182" t="s">
        <v>304</v>
      </c>
      <c r="B182" s="3">
        <v>5.0999999999999996</v>
      </c>
      <c r="E182" t="s">
        <v>320</v>
      </c>
      <c r="F182" s="3">
        <v>0.3</v>
      </c>
      <c r="I182" s="3" t="s">
        <v>25</v>
      </c>
      <c r="K182" s="3">
        <v>5</v>
      </c>
      <c r="L182" s="3">
        <v>1</v>
      </c>
    </row>
    <row r="183" spans="1:12" ht="16.5" x14ac:dyDescent="0.35">
      <c r="A183" t="s">
        <v>305</v>
      </c>
      <c r="B183" s="3">
        <v>5.0999999999999996</v>
      </c>
      <c r="E183" t="s">
        <v>320</v>
      </c>
      <c r="F183" s="3">
        <v>0.3</v>
      </c>
      <c r="I183" s="3" t="s">
        <v>25</v>
      </c>
      <c r="K183" s="3">
        <v>5</v>
      </c>
      <c r="L183" s="3">
        <v>1</v>
      </c>
    </row>
    <row r="184" spans="1:12" ht="16.5" x14ac:dyDescent="0.35">
      <c r="A184" t="s">
        <v>306</v>
      </c>
      <c r="B184" s="3">
        <v>5.6</v>
      </c>
      <c r="E184" t="s">
        <v>320</v>
      </c>
      <c r="F184" s="3">
        <v>0.3</v>
      </c>
      <c r="I184" s="3" t="s">
        <v>25</v>
      </c>
      <c r="K184" s="3">
        <v>5</v>
      </c>
      <c r="L184" s="3">
        <v>1</v>
      </c>
    </row>
    <row r="185" spans="1:12" ht="16.5" x14ac:dyDescent="0.35">
      <c r="A185" t="s">
        <v>307</v>
      </c>
      <c r="B185" s="3">
        <v>5.6</v>
      </c>
      <c r="E185" t="s">
        <v>320</v>
      </c>
      <c r="F185" s="3">
        <v>0.3</v>
      </c>
      <c r="I185" s="3" t="s">
        <v>25</v>
      </c>
      <c r="K185" s="3">
        <v>5</v>
      </c>
      <c r="L185" s="3">
        <v>1</v>
      </c>
    </row>
    <row r="186" spans="1:12" ht="16.5" x14ac:dyDescent="0.35">
      <c r="A186" t="s">
        <v>308</v>
      </c>
      <c r="B186" s="3">
        <v>6.2</v>
      </c>
      <c r="E186" t="s">
        <v>320</v>
      </c>
      <c r="F186" s="3">
        <v>0.3</v>
      </c>
      <c r="I186" s="3" t="s">
        <v>25</v>
      </c>
      <c r="K186" s="3">
        <v>5</v>
      </c>
      <c r="L186" s="3">
        <v>1</v>
      </c>
    </row>
    <row r="187" spans="1:12" ht="16.5" x14ac:dyDescent="0.35">
      <c r="A187" t="s">
        <v>309</v>
      </c>
      <c r="B187" s="3">
        <v>6.2</v>
      </c>
      <c r="E187" t="s">
        <v>320</v>
      </c>
      <c r="F187" s="3">
        <v>0.3</v>
      </c>
      <c r="I187" s="3" t="s">
        <v>25</v>
      </c>
      <c r="K187" s="3">
        <v>5</v>
      </c>
      <c r="L187" s="3">
        <v>1</v>
      </c>
    </row>
    <row r="188" spans="1:12" ht="16.5" x14ac:dyDescent="0.35">
      <c r="A188" t="s">
        <v>310</v>
      </c>
      <c r="B188" s="3">
        <v>6.8</v>
      </c>
      <c r="E188" t="s">
        <v>320</v>
      </c>
      <c r="F188" s="3">
        <v>0.3</v>
      </c>
      <c r="I188" s="3" t="s">
        <v>25</v>
      </c>
      <c r="K188" s="3">
        <v>5</v>
      </c>
      <c r="L188" s="3">
        <v>1</v>
      </c>
    </row>
    <row r="189" spans="1:12" ht="16.5" x14ac:dyDescent="0.35">
      <c r="A189" t="s">
        <v>311</v>
      </c>
      <c r="B189" s="3">
        <v>6.8</v>
      </c>
      <c r="E189" t="s">
        <v>320</v>
      </c>
      <c r="F189" s="3">
        <v>0.3</v>
      </c>
      <c r="I189" s="3" t="s">
        <v>25</v>
      </c>
      <c r="K189" s="3">
        <v>5</v>
      </c>
      <c r="L189" s="3">
        <v>1</v>
      </c>
    </row>
    <row r="190" spans="1:12" ht="16.5" x14ac:dyDescent="0.35">
      <c r="A190" t="s">
        <v>312</v>
      </c>
      <c r="B190" s="3">
        <v>7.5</v>
      </c>
      <c r="E190" t="s">
        <v>320</v>
      </c>
      <c r="F190" s="3">
        <v>0.3</v>
      </c>
      <c r="I190" s="3" t="s">
        <v>25</v>
      </c>
      <c r="K190" s="3">
        <v>5</v>
      </c>
      <c r="L190" s="3">
        <v>1</v>
      </c>
    </row>
    <row r="191" spans="1:12" ht="16.5" x14ac:dyDescent="0.35">
      <c r="A191" t="s">
        <v>313</v>
      </c>
      <c r="B191" s="3">
        <v>7.5</v>
      </c>
      <c r="E191" t="s">
        <v>320</v>
      </c>
      <c r="F191" s="3">
        <v>0.3</v>
      </c>
      <c r="I191" s="3" t="s">
        <v>25</v>
      </c>
      <c r="K191" s="3">
        <v>5</v>
      </c>
      <c r="L191" s="3">
        <v>1</v>
      </c>
    </row>
    <row r="192" spans="1:12" ht="16.5" x14ac:dyDescent="0.35">
      <c r="A192" t="s">
        <v>314</v>
      </c>
      <c r="B192" s="3">
        <v>8.1999999999999993</v>
      </c>
      <c r="E192" t="s">
        <v>320</v>
      </c>
      <c r="F192" s="3">
        <v>0.3</v>
      </c>
      <c r="I192" s="3" t="s">
        <v>25</v>
      </c>
      <c r="K192" s="3">
        <v>5</v>
      </c>
      <c r="L192" s="3">
        <v>1</v>
      </c>
    </row>
    <row r="193" spans="1:12" ht="16.5" x14ac:dyDescent="0.35">
      <c r="A193" t="s">
        <v>315</v>
      </c>
      <c r="B193" s="3">
        <v>8.1999999999999993</v>
      </c>
      <c r="E193" t="s">
        <v>320</v>
      </c>
      <c r="F193" s="3">
        <v>0.3</v>
      </c>
      <c r="I193" s="3" t="s">
        <v>25</v>
      </c>
      <c r="K193" s="3">
        <v>5</v>
      </c>
      <c r="L193" s="3">
        <v>1</v>
      </c>
    </row>
    <row r="194" spans="1:12" ht="16.5" x14ac:dyDescent="0.35">
      <c r="A194" t="s">
        <v>316</v>
      </c>
      <c r="B194" s="3">
        <v>9.1</v>
      </c>
      <c r="E194" t="s">
        <v>320</v>
      </c>
      <c r="F194" s="3">
        <v>0.3</v>
      </c>
      <c r="I194" s="3" t="s">
        <v>25</v>
      </c>
      <c r="K194" s="3">
        <v>5</v>
      </c>
      <c r="L194" s="3">
        <v>1</v>
      </c>
    </row>
    <row r="195" spans="1:12" ht="16.5" x14ac:dyDescent="0.35">
      <c r="A195" t="s">
        <v>317</v>
      </c>
      <c r="B195" s="3">
        <v>9.1</v>
      </c>
      <c r="E195" t="s">
        <v>320</v>
      </c>
      <c r="F195" s="3">
        <v>0.3</v>
      </c>
      <c r="I195" s="3" t="s">
        <v>25</v>
      </c>
      <c r="K195" s="3">
        <v>5</v>
      </c>
      <c r="L195" s="3">
        <v>1</v>
      </c>
    </row>
    <row r="196" spans="1:12" ht="16.5" x14ac:dyDescent="0.35">
      <c r="A196" t="s">
        <v>321</v>
      </c>
      <c r="B196" s="3">
        <v>10</v>
      </c>
      <c r="E196" t="s">
        <v>367</v>
      </c>
      <c r="F196" s="3">
        <v>0.28999999999999998</v>
      </c>
      <c r="I196" s="3" t="s">
        <v>25</v>
      </c>
      <c r="K196" s="3">
        <v>5</v>
      </c>
      <c r="L196" s="3">
        <v>1</v>
      </c>
    </row>
    <row r="197" spans="1:12" ht="16.5" x14ac:dyDescent="0.35">
      <c r="A197" t="s">
        <v>322</v>
      </c>
      <c r="B197" s="3">
        <v>10</v>
      </c>
      <c r="E197" t="s">
        <v>367</v>
      </c>
      <c r="F197" s="3">
        <v>0.28999999999999998</v>
      </c>
      <c r="I197" s="3" t="s">
        <v>25</v>
      </c>
      <c r="K197" s="3">
        <v>5</v>
      </c>
      <c r="L197" s="3">
        <v>1</v>
      </c>
    </row>
    <row r="198" spans="1:12" ht="16.5" x14ac:dyDescent="0.35">
      <c r="A198" t="s">
        <v>323</v>
      </c>
      <c r="B198" s="3">
        <v>11</v>
      </c>
      <c r="E198" t="s">
        <v>367</v>
      </c>
      <c r="F198" s="3">
        <v>0.28999999999999998</v>
      </c>
      <c r="I198" s="3" t="s">
        <v>25</v>
      </c>
      <c r="K198" s="3">
        <v>5</v>
      </c>
      <c r="L198" s="3">
        <v>1</v>
      </c>
    </row>
    <row r="199" spans="1:12" ht="16.5" x14ac:dyDescent="0.35">
      <c r="A199" t="s">
        <v>324</v>
      </c>
      <c r="B199" s="3">
        <v>11</v>
      </c>
      <c r="E199" t="s">
        <v>367</v>
      </c>
      <c r="F199" s="3">
        <v>0.28999999999999998</v>
      </c>
      <c r="I199" s="3" t="s">
        <v>25</v>
      </c>
      <c r="K199" s="3">
        <v>5</v>
      </c>
      <c r="L199" s="3">
        <v>1</v>
      </c>
    </row>
    <row r="200" spans="1:12" ht="16.5" x14ac:dyDescent="0.35">
      <c r="A200" t="s">
        <v>325</v>
      </c>
      <c r="B200" s="3">
        <v>12</v>
      </c>
      <c r="E200" t="s">
        <v>367</v>
      </c>
      <c r="F200" s="3">
        <v>0.28999999999999998</v>
      </c>
      <c r="I200" s="3" t="s">
        <v>25</v>
      </c>
      <c r="K200" s="3">
        <v>5</v>
      </c>
      <c r="L200" s="3">
        <v>1</v>
      </c>
    </row>
    <row r="201" spans="1:12" ht="16.5" x14ac:dyDescent="0.35">
      <c r="A201" t="s">
        <v>326</v>
      </c>
      <c r="B201" s="3">
        <v>12</v>
      </c>
      <c r="E201" t="s">
        <v>367</v>
      </c>
      <c r="F201" s="3">
        <v>0.28999999999999998</v>
      </c>
      <c r="I201" s="3" t="s">
        <v>25</v>
      </c>
      <c r="K201" s="3">
        <v>5</v>
      </c>
      <c r="L201" s="3">
        <v>1</v>
      </c>
    </row>
    <row r="202" spans="1:12" ht="16.5" x14ac:dyDescent="0.35">
      <c r="A202" t="s">
        <v>327</v>
      </c>
      <c r="B202" s="3">
        <v>13</v>
      </c>
      <c r="E202" t="s">
        <v>367</v>
      </c>
      <c r="F202" s="3">
        <v>0.28999999999999998</v>
      </c>
      <c r="I202" s="3" t="s">
        <v>25</v>
      </c>
      <c r="K202" s="3">
        <v>5</v>
      </c>
      <c r="L202" s="3">
        <v>1</v>
      </c>
    </row>
    <row r="203" spans="1:12" ht="16.5" x14ac:dyDescent="0.35">
      <c r="A203" t="s">
        <v>328</v>
      </c>
      <c r="B203" s="3">
        <v>13</v>
      </c>
      <c r="E203" t="s">
        <v>367</v>
      </c>
      <c r="F203" s="3">
        <v>0.28999999999999998</v>
      </c>
      <c r="I203" s="3" t="s">
        <v>25</v>
      </c>
      <c r="K203" s="3">
        <v>5</v>
      </c>
      <c r="L203" s="3">
        <v>1</v>
      </c>
    </row>
    <row r="204" spans="1:12" ht="16.5" x14ac:dyDescent="0.35">
      <c r="A204" t="s">
        <v>329</v>
      </c>
      <c r="B204" s="3">
        <v>15</v>
      </c>
      <c r="E204" t="s">
        <v>367</v>
      </c>
      <c r="F204" s="3">
        <v>0.28999999999999998</v>
      </c>
      <c r="I204" s="3" t="s">
        <v>25</v>
      </c>
      <c r="K204" s="3">
        <v>5</v>
      </c>
      <c r="L204" s="3">
        <v>1</v>
      </c>
    </row>
    <row r="205" spans="1:12" ht="16.5" x14ac:dyDescent="0.35">
      <c r="A205" t="s">
        <v>330</v>
      </c>
      <c r="B205" s="3">
        <v>15</v>
      </c>
      <c r="E205" t="s">
        <v>367</v>
      </c>
      <c r="F205" s="3">
        <v>0.28999999999999998</v>
      </c>
      <c r="I205" s="3" t="s">
        <v>25</v>
      </c>
      <c r="K205" s="3">
        <v>5</v>
      </c>
      <c r="L205" s="3">
        <v>1</v>
      </c>
    </row>
    <row r="206" spans="1:12" ht="16.5" x14ac:dyDescent="0.35">
      <c r="A206" t="s">
        <v>331</v>
      </c>
      <c r="B206" s="3">
        <v>16</v>
      </c>
      <c r="E206" t="s">
        <v>367</v>
      </c>
      <c r="F206" s="3">
        <v>0.28999999999999998</v>
      </c>
      <c r="I206" s="3" t="s">
        <v>25</v>
      </c>
      <c r="K206" s="3">
        <v>5</v>
      </c>
      <c r="L206" s="3">
        <v>1</v>
      </c>
    </row>
    <row r="207" spans="1:12" ht="16.5" x14ac:dyDescent="0.35">
      <c r="A207" t="s">
        <v>332</v>
      </c>
      <c r="B207" s="3">
        <v>16</v>
      </c>
      <c r="E207" t="s">
        <v>367</v>
      </c>
      <c r="F207" s="3">
        <v>0.28999999999999998</v>
      </c>
      <c r="I207" s="3" t="s">
        <v>25</v>
      </c>
      <c r="K207" s="3">
        <v>5</v>
      </c>
      <c r="L207" s="3">
        <v>1</v>
      </c>
    </row>
    <row r="208" spans="1:12" ht="16.5" x14ac:dyDescent="0.35">
      <c r="A208" t="s">
        <v>333</v>
      </c>
      <c r="B208" s="3">
        <v>18</v>
      </c>
      <c r="E208" t="s">
        <v>367</v>
      </c>
      <c r="F208" s="3">
        <v>0.28999999999999998</v>
      </c>
      <c r="I208" s="3" t="s">
        <v>25</v>
      </c>
      <c r="K208" s="3">
        <v>5</v>
      </c>
      <c r="L208" s="3">
        <v>1</v>
      </c>
    </row>
    <row r="209" spans="1:12" ht="16.5" x14ac:dyDescent="0.35">
      <c r="A209" t="s">
        <v>334</v>
      </c>
      <c r="B209" s="3">
        <v>18</v>
      </c>
      <c r="E209" t="s">
        <v>367</v>
      </c>
      <c r="F209" s="3">
        <v>0.28999999999999998</v>
      </c>
      <c r="I209" s="3" t="s">
        <v>25</v>
      </c>
      <c r="K209" s="3">
        <v>5</v>
      </c>
      <c r="L209" s="3">
        <v>1</v>
      </c>
    </row>
    <row r="210" spans="1:12" ht="16.5" x14ac:dyDescent="0.35">
      <c r="A210" t="s">
        <v>335</v>
      </c>
      <c r="B210" s="3">
        <v>20</v>
      </c>
      <c r="E210" t="s">
        <v>367</v>
      </c>
      <c r="F210" s="3">
        <v>0.28999999999999998</v>
      </c>
      <c r="I210" s="3" t="s">
        <v>25</v>
      </c>
      <c r="K210" s="3">
        <v>5</v>
      </c>
      <c r="L210" s="3">
        <v>1</v>
      </c>
    </row>
    <row r="211" spans="1:12" ht="16.5" x14ac:dyDescent="0.35">
      <c r="A211" t="s">
        <v>336</v>
      </c>
      <c r="B211" s="3">
        <v>20</v>
      </c>
      <c r="E211" t="s">
        <v>367</v>
      </c>
      <c r="F211" s="3">
        <v>0.28999999999999998</v>
      </c>
      <c r="I211" s="3" t="s">
        <v>25</v>
      </c>
      <c r="K211" s="3">
        <v>5</v>
      </c>
      <c r="L211" s="3">
        <v>1</v>
      </c>
    </row>
    <row r="212" spans="1:12" ht="16.5" x14ac:dyDescent="0.35">
      <c r="A212" t="s">
        <v>337</v>
      </c>
      <c r="B212" s="3">
        <v>22</v>
      </c>
      <c r="E212" t="s">
        <v>367</v>
      </c>
      <c r="F212" s="3">
        <v>0.28999999999999998</v>
      </c>
      <c r="I212" s="3" t="s">
        <v>25</v>
      </c>
      <c r="K212" s="3">
        <v>5</v>
      </c>
      <c r="L212" s="3">
        <v>1</v>
      </c>
    </row>
    <row r="213" spans="1:12" ht="16.5" x14ac:dyDescent="0.35">
      <c r="A213" t="s">
        <v>338</v>
      </c>
      <c r="B213" s="3">
        <v>22</v>
      </c>
      <c r="E213" t="s">
        <v>367</v>
      </c>
      <c r="F213" s="3">
        <v>0.28999999999999998</v>
      </c>
      <c r="I213" s="3" t="s">
        <v>25</v>
      </c>
      <c r="K213" s="3">
        <v>5</v>
      </c>
      <c r="L213" s="3">
        <v>1</v>
      </c>
    </row>
    <row r="214" spans="1:12" ht="16.5" x14ac:dyDescent="0.35">
      <c r="A214" t="s">
        <v>339</v>
      </c>
      <c r="B214" s="3">
        <v>24</v>
      </c>
      <c r="E214" t="s">
        <v>367</v>
      </c>
      <c r="F214" s="3">
        <v>0.28999999999999998</v>
      </c>
      <c r="I214" s="3" t="s">
        <v>25</v>
      </c>
      <c r="K214" s="3">
        <v>5</v>
      </c>
      <c r="L214" s="3">
        <v>1</v>
      </c>
    </row>
    <row r="215" spans="1:12" ht="16.5" x14ac:dyDescent="0.35">
      <c r="A215" t="s">
        <v>340</v>
      </c>
      <c r="B215" s="3">
        <v>24</v>
      </c>
      <c r="E215" t="s">
        <v>367</v>
      </c>
      <c r="F215" s="3">
        <v>0.28999999999999998</v>
      </c>
      <c r="I215" s="3" t="s">
        <v>25</v>
      </c>
      <c r="K215" s="3">
        <v>5</v>
      </c>
      <c r="L215" s="3">
        <v>1</v>
      </c>
    </row>
    <row r="216" spans="1:12" ht="16.5" x14ac:dyDescent="0.35">
      <c r="A216" t="s">
        <v>341</v>
      </c>
      <c r="B216" s="3">
        <v>27</v>
      </c>
      <c r="E216" t="s">
        <v>367</v>
      </c>
      <c r="F216" s="3">
        <v>0.28999999999999998</v>
      </c>
      <c r="I216" s="3" t="s">
        <v>25</v>
      </c>
      <c r="K216" s="3">
        <v>5</v>
      </c>
      <c r="L216" s="3">
        <v>1</v>
      </c>
    </row>
    <row r="217" spans="1:12" ht="16.5" x14ac:dyDescent="0.35">
      <c r="A217" t="s">
        <v>342</v>
      </c>
      <c r="B217" s="3">
        <v>27</v>
      </c>
      <c r="E217" t="s">
        <v>367</v>
      </c>
      <c r="F217" s="3">
        <v>0.28999999999999998</v>
      </c>
      <c r="I217" s="3" t="s">
        <v>25</v>
      </c>
      <c r="K217" s="3">
        <v>5</v>
      </c>
      <c r="L217" s="3">
        <v>1</v>
      </c>
    </row>
    <row r="218" spans="1:12" ht="16.5" x14ac:dyDescent="0.35">
      <c r="A218" t="s">
        <v>343</v>
      </c>
      <c r="B218" s="3">
        <v>30</v>
      </c>
      <c r="E218" t="s">
        <v>367</v>
      </c>
      <c r="F218" s="3">
        <v>0.28999999999999998</v>
      </c>
      <c r="I218" s="3" t="s">
        <v>25</v>
      </c>
      <c r="K218" s="3">
        <v>5</v>
      </c>
      <c r="L218" s="3">
        <v>1</v>
      </c>
    </row>
    <row r="219" spans="1:12" ht="16.5" x14ac:dyDescent="0.35">
      <c r="A219" t="s">
        <v>344</v>
      </c>
      <c r="B219" s="3">
        <v>30</v>
      </c>
      <c r="E219" t="s">
        <v>367</v>
      </c>
      <c r="F219" s="3">
        <v>0.28999999999999998</v>
      </c>
      <c r="I219" s="3" t="s">
        <v>25</v>
      </c>
      <c r="K219" s="3">
        <v>5</v>
      </c>
      <c r="L219" s="3">
        <v>1</v>
      </c>
    </row>
    <row r="220" spans="1:12" ht="16.5" x14ac:dyDescent="0.35">
      <c r="A220" t="s">
        <v>345</v>
      </c>
      <c r="B220" s="3">
        <v>33</v>
      </c>
      <c r="E220" t="s">
        <v>367</v>
      </c>
      <c r="F220" s="3">
        <v>0.28999999999999998</v>
      </c>
      <c r="I220" s="3" t="s">
        <v>25</v>
      </c>
      <c r="K220" s="3">
        <v>5</v>
      </c>
      <c r="L220" s="3">
        <v>1</v>
      </c>
    </row>
    <row r="221" spans="1:12" ht="16.5" x14ac:dyDescent="0.35">
      <c r="A221" t="s">
        <v>346</v>
      </c>
      <c r="B221" s="3">
        <v>33</v>
      </c>
      <c r="E221" t="s">
        <v>367</v>
      </c>
      <c r="F221" s="3">
        <v>0.28999999999999998</v>
      </c>
      <c r="I221" s="3" t="s">
        <v>25</v>
      </c>
      <c r="K221" s="3">
        <v>5</v>
      </c>
      <c r="L221" s="3">
        <v>1</v>
      </c>
    </row>
    <row r="222" spans="1:12" ht="16.5" x14ac:dyDescent="0.35">
      <c r="A222" t="s">
        <v>347</v>
      </c>
      <c r="B222" s="3">
        <v>36</v>
      </c>
      <c r="E222" t="s">
        <v>367</v>
      </c>
      <c r="F222" s="3">
        <v>0.28999999999999998</v>
      </c>
      <c r="I222" s="3" t="s">
        <v>25</v>
      </c>
      <c r="K222" s="3">
        <v>5</v>
      </c>
      <c r="L222" s="3">
        <v>1</v>
      </c>
    </row>
    <row r="223" spans="1:12" ht="16.5" x14ac:dyDescent="0.35">
      <c r="A223" t="s">
        <v>348</v>
      </c>
      <c r="B223" s="3">
        <v>36</v>
      </c>
      <c r="E223" t="s">
        <v>367</v>
      </c>
      <c r="F223" s="3">
        <v>0.28999999999999998</v>
      </c>
      <c r="I223" s="3" t="s">
        <v>25</v>
      </c>
      <c r="K223" s="3">
        <v>5</v>
      </c>
      <c r="L223" s="3">
        <v>1</v>
      </c>
    </row>
    <row r="224" spans="1:12" ht="16.5" x14ac:dyDescent="0.35">
      <c r="A224" t="s">
        <v>349</v>
      </c>
      <c r="B224" s="3">
        <v>39</v>
      </c>
      <c r="E224" t="s">
        <v>367</v>
      </c>
      <c r="F224" s="3">
        <v>0.28999999999999998</v>
      </c>
      <c r="I224" s="3" t="s">
        <v>25</v>
      </c>
      <c r="K224" s="3">
        <v>5</v>
      </c>
      <c r="L224" s="3">
        <v>1</v>
      </c>
    </row>
    <row r="225" spans="1:12" ht="16.5" x14ac:dyDescent="0.35">
      <c r="A225" t="s">
        <v>350</v>
      </c>
      <c r="B225" s="3">
        <v>39</v>
      </c>
      <c r="E225" t="s">
        <v>367</v>
      </c>
      <c r="F225" s="3">
        <v>0.28999999999999998</v>
      </c>
      <c r="I225" s="3" t="s">
        <v>25</v>
      </c>
      <c r="K225" s="3">
        <v>5</v>
      </c>
      <c r="L225" s="3">
        <v>1</v>
      </c>
    </row>
    <row r="226" spans="1:12" ht="16.5" x14ac:dyDescent="0.35">
      <c r="A226" t="s">
        <v>351</v>
      </c>
      <c r="B226" s="3">
        <v>3.3</v>
      </c>
      <c r="E226" t="s">
        <v>367</v>
      </c>
      <c r="F226" s="3">
        <v>0.28999999999999998</v>
      </c>
      <c r="I226" s="3" t="s">
        <v>25</v>
      </c>
      <c r="K226" s="3">
        <v>5</v>
      </c>
      <c r="L226" s="3">
        <v>1</v>
      </c>
    </row>
    <row r="227" spans="1:12" ht="16.5" x14ac:dyDescent="0.35">
      <c r="A227" t="s">
        <v>352</v>
      </c>
      <c r="B227" s="3">
        <v>3.3</v>
      </c>
      <c r="E227" t="s">
        <v>367</v>
      </c>
      <c r="F227" s="3">
        <v>0.28999999999999998</v>
      </c>
      <c r="I227" s="3" t="s">
        <v>25</v>
      </c>
      <c r="K227" s="3">
        <v>5</v>
      </c>
      <c r="L227" s="3">
        <v>1</v>
      </c>
    </row>
    <row r="228" spans="1:12" ht="16.5" x14ac:dyDescent="0.35">
      <c r="A228" t="s">
        <v>353</v>
      </c>
      <c r="B228" s="3">
        <v>5.0999999999999996</v>
      </c>
      <c r="E228" t="s">
        <v>367</v>
      </c>
      <c r="F228" s="3">
        <v>0.28999999999999998</v>
      </c>
      <c r="I228" s="3" t="s">
        <v>25</v>
      </c>
      <c r="K228" s="3">
        <v>5</v>
      </c>
      <c r="L228" s="3">
        <v>1</v>
      </c>
    </row>
    <row r="229" spans="1:12" ht="16.5" x14ac:dyDescent="0.35">
      <c r="A229" t="s">
        <v>354</v>
      </c>
      <c r="B229" s="3">
        <v>5.0999999999999996</v>
      </c>
      <c r="E229" t="s">
        <v>367</v>
      </c>
      <c r="F229" s="3">
        <v>0.28999999999999998</v>
      </c>
      <c r="I229" s="3" t="s">
        <v>25</v>
      </c>
      <c r="K229" s="3">
        <v>5</v>
      </c>
      <c r="L229" s="3">
        <v>1</v>
      </c>
    </row>
    <row r="230" spans="1:12" ht="16.5" x14ac:dyDescent="0.35">
      <c r="A230" t="s">
        <v>355</v>
      </c>
      <c r="B230" s="3">
        <v>5.6</v>
      </c>
      <c r="E230" t="s">
        <v>367</v>
      </c>
      <c r="F230" s="3">
        <v>0.28999999999999998</v>
      </c>
      <c r="I230" s="3" t="s">
        <v>25</v>
      </c>
      <c r="K230" s="3">
        <v>5</v>
      </c>
      <c r="L230" s="3">
        <v>1</v>
      </c>
    </row>
    <row r="231" spans="1:12" ht="16.5" x14ac:dyDescent="0.35">
      <c r="A231" t="s">
        <v>356</v>
      </c>
      <c r="B231" s="3">
        <v>5.6</v>
      </c>
      <c r="E231" t="s">
        <v>367</v>
      </c>
      <c r="F231" s="3">
        <v>0.28999999999999998</v>
      </c>
      <c r="I231" s="3" t="s">
        <v>25</v>
      </c>
      <c r="K231" s="3">
        <v>5</v>
      </c>
      <c r="L231" s="3">
        <v>1</v>
      </c>
    </row>
    <row r="232" spans="1:12" ht="16.5" x14ac:dyDescent="0.35">
      <c r="A232" t="s">
        <v>357</v>
      </c>
      <c r="B232" s="3">
        <v>6.2</v>
      </c>
      <c r="E232" t="s">
        <v>367</v>
      </c>
      <c r="F232" s="3">
        <v>0.28999999999999998</v>
      </c>
      <c r="I232" s="3" t="s">
        <v>25</v>
      </c>
      <c r="K232" s="3">
        <v>5</v>
      </c>
      <c r="L232" s="3">
        <v>1</v>
      </c>
    </row>
    <row r="233" spans="1:12" ht="16.5" x14ac:dyDescent="0.35">
      <c r="A233" t="s">
        <v>358</v>
      </c>
      <c r="B233" s="3">
        <v>6.2</v>
      </c>
      <c r="E233" t="s">
        <v>367</v>
      </c>
      <c r="F233" s="3">
        <v>0.28999999999999998</v>
      </c>
      <c r="I233" s="3" t="s">
        <v>25</v>
      </c>
      <c r="K233" s="3">
        <v>5</v>
      </c>
      <c r="L233" s="3">
        <v>1</v>
      </c>
    </row>
    <row r="234" spans="1:12" ht="16.5" x14ac:dyDescent="0.35">
      <c r="A234" t="s">
        <v>359</v>
      </c>
      <c r="B234" s="3">
        <v>6.8</v>
      </c>
      <c r="E234" t="s">
        <v>367</v>
      </c>
      <c r="F234" s="3">
        <v>0.28999999999999998</v>
      </c>
      <c r="I234" s="3" t="s">
        <v>25</v>
      </c>
      <c r="K234" s="3">
        <v>5</v>
      </c>
      <c r="L234" s="3">
        <v>1</v>
      </c>
    </row>
    <row r="235" spans="1:12" ht="16.5" x14ac:dyDescent="0.35">
      <c r="A235" t="s">
        <v>360</v>
      </c>
      <c r="B235" s="3">
        <v>6.8</v>
      </c>
      <c r="E235" t="s">
        <v>367</v>
      </c>
      <c r="F235" s="3">
        <v>0.28999999999999998</v>
      </c>
      <c r="I235" s="3" t="s">
        <v>25</v>
      </c>
      <c r="K235" s="3">
        <v>5</v>
      </c>
      <c r="L235" s="3">
        <v>1</v>
      </c>
    </row>
    <row r="236" spans="1:12" ht="16.5" x14ac:dyDescent="0.35">
      <c r="A236" t="s">
        <v>361</v>
      </c>
      <c r="B236" s="3">
        <v>7.5</v>
      </c>
      <c r="E236" t="s">
        <v>367</v>
      </c>
      <c r="F236" s="3">
        <v>0.28999999999999998</v>
      </c>
      <c r="I236" s="3" t="s">
        <v>25</v>
      </c>
      <c r="K236" s="3">
        <v>5</v>
      </c>
      <c r="L236" s="3">
        <v>1</v>
      </c>
    </row>
    <row r="237" spans="1:12" ht="16.5" x14ac:dyDescent="0.35">
      <c r="A237" t="s">
        <v>362</v>
      </c>
      <c r="B237" s="3">
        <v>7.5</v>
      </c>
      <c r="E237" t="s">
        <v>367</v>
      </c>
      <c r="F237" s="3">
        <v>0.28999999999999998</v>
      </c>
      <c r="I237" s="3" t="s">
        <v>25</v>
      </c>
      <c r="K237" s="3">
        <v>5</v>
      </c>
      <c r="L237" s="3">
        <v>1</v>
      </c>
    </row>
    <row r="238" spans="1:12" ht="16.5" x14ac:dyDescent="0.35">
      <c r="A238" t="s">
        <v>363</v>
      </c>
      <c r="B238" s="3">
        <v>8.1999999999999993</v>
      </c>
      <c r="E238" t="s">
        <v>367</v>
      </c>
      <c r="F238" s="3">
        <v>0.28999999999999998</v>
      </c>
      <c r="I238" s="3" t="s">
        <v>25</v>
      </c>
      <c r="K238" s="3">
        <v>5</v>
      </c>
      <c r="L238" s="3">
        <v>1</v>
      </c>
    </row>
    <row r="239" spans="1:12" ht="16.5" x14ac:dyDescent="0.35">
      <c r="A239" t="s">
        <v>364</v>
      </c>
      <c r="B239" s="3">
        <v>8.1999999999999993</v>
      </c>
      <c r="E239" t="s">
        <v>367</v>
      </c>
      <c r="F239" s="3">
        <v>0.28999999999999998</v>
      </c>
      <c r="I239" s="3" t="s">
        <v>25</v>
      </c>
      <c r="K239" s="3">
        <v>5</v>
      </c>
      <c r="L239" s="3">
        <v>1</v>
      </c>
    </row>
    <row r="240" spans="1:12" ht="16.5" x14ac:dyDescent="0.35">
      <c r="A240" t="s">
        <v>365</v>
      </c>
      <c r="B240" s="3">
        <v>9.1</v>
      </c>
      <c r="E240" t="s">
        <v>367</v>
      </c>
      <c r="F240" s="3">
        <v>0.28999999999999998</v>
      </c>
      <c r="I240" s="3" t="s">
        <v>25</v>
      </c>
      <c r="K240" s="3">
        <v>5</v>
      </c>
      <c r="L240" s="3">
        <v>1</v>
      </c>
    </row>
    <row r="241" spans="1:12" ht="16.5" x14ac:dyDescent="0.35">
      <c r="A241" t="s">
        <v>366</v>
      </c>
      <c r="B241" s="3">
        <v>9.1</v>
      </c>
      <c r="E241" t="s">
        <v>367</v>
      </c>
      <c r="F241" s="3">
        <v>0.28999999999999998</v>
      </c>
      <c r="I241" s="3" t="s">
        <v>25</v>
      </c>
      <c r="K241" s="3">
        <v>5</v>
      </c>
      <c r="L241" s="3">
        <v>1</v>
      </c>
    </row>
  </sheetData>
  <mergeCells count="2">
    <mergeCell ref="A2:P2"/>
    <mergeCell ref="A4:B4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Shreya Veeredhi</cp:lastModifiedBy>
  <dcterms:created xsi:type="dcterms:W3CDTF">2026-06-29T02:01:49Z</dcterms:created>
  <dcterms:modified xsi:type="dcterms:W3CDTF">2026-09-19T21:36:04Z</dcterms:modified>
</cp:coreProperties>
</file>