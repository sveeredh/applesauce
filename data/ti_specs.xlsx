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15039\Downloads\Cross-Reference-Tool-main\Cross-Reference-Tool-main\"/>
    </mc:Choice>
  </mc:AlternateContent>
  <xr:revisionPtr revIDLastSave="0" documentId="13_ncr:1_{4027606B-33EB-4670-965C-3B9AA166AAB1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Products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3" i="1" l="1"/>
  <c r="C223" i="1"/>
  <c r="A223" i="1"/>
  <c r="D222" i="1"/>
  <c r="C222" i="1"/>
  <c r="A222" i="1"/>
  <c r="D221" i="1"/>
  <c r="C221" i="1"/>
  <c r="A221" i="1"/>
  <c r="D220" i="1"/>
  <c r="C220" i="1"/>
  <c r="A220" i="1"/>
  <c r="D219" i="1"/>
  <c r="C219" i="1"/>
  <c r="A219" i="1"/>
  <c r="D218" i="1"/>
  <c r="C218" i="1"/>
  <c r="A218" i="1"/>
  <c r="D217" i="1"/>
  <c r="C217" i="1"/>
  <c r="A217" i="1"/>
  <c r="D216" i="1"/>
  <c r="C216" i="1"/>
  <c r="A216" i="1"/>
  <c r="D215" i="1"/>
  <c r="C215" i="1"/>
  <c r="A215" i="1"/>
  <c r="D214" i="1"/>
  <c r="C214" i="1"/>
  <c r="A214" i="1"/>
  <c r="D213" i="1"/>
  <c r="C213" i="1"/>
  <c r="A213" i="1"/>
  <c r="D212" i="1"/>
  <c r="C212" i="1"/>
  <c r="A212" i="1"/>
  <c r="C211" i="1"/>
  <c r="A211" i="1"/>
  <c r="D210" i="1"/>
  <c r="C210" i="1"/>
  <c r="A210" i="1"/>
  <c r="D209" i="1"/>
  <c r="C209" i="1"/>
  <c r="A209" i="1"/>
  <c r="D208" i="1"/>
  <c r="C208" i="1"/>
  <c r="A208" i="1"/>
  <c r="D207" i="1"/>
  <c r="C207" i="1"/>
  <c r="A207" i="1"/>
  <c r="D206" i="1"/>
  <c r="C206" i="1"/>
  <c r="A206" i="1"/>
  <c r="D205" i="1"/>
  <c r="C205" i="1"/>
  <c r="A205" i="1"/>
  <c r="D204" i="1"/>
  <c r="C204" i="1"/>
  <c r="A204" i="1"/>
  <c r="D203" i="1"/>
  <c r="C203" i="1"/>
  <c r="A203" i="1"/>
  <c r="D202" i="1"/>
  <c r="C202" i="1"/>
  <c r="A202" i="1"/>
  <c r="D201" i="1"/>
  <c r="C201" i="1"/>
  <c r="A201" i="1"/>
  <c r="D200" i="1"/>
  <c r="C200" i="1"/>
  <c r="A200" i="1"/>
  <c r="D199" i="1"/>
  <c r="C199" i="1"/>
  <c r="A199" i="1"/>
  <c r="D198" i="1"/>
  <c r="C198" i="1"/>
  <c r="A198" i="1"/>
  <c r="D197" i="1"/>
  <c r="C197" i="1"/>
  <c r="A197" i="1"/>
  <c r="D196" i="1"/>
  <c r="C196" i="1"/>
  <c r="A196" i="1"/>
  <c r="D195" i="1"/>
  <c r="C195" i="1"/>
  <c r="A195" i="1"/>
  <c r="D194" i="1"/>
  <c r="C194" i="1"/>
  <c r="A194" i="1"/>
  <c r="D193" i="1"/>
  <c r="C193" i="1"/>
  <c r="A193" i="1"/>
  <c r="D192" i="1"/>
  <c r="C192" i="1"/>
  <c r="A192" i="1"/>
  <c r="D191" i="1"/>
  <c r="C191" i="1"/>
  <c r="A191" i="1"/>
  <c r="D190" i="1"/>
  <c r="C190" i="1"/>
  <c r="A190" i="1"/>
  <c r="D189" i="1"/>
  <c r="C189" i="1"/>
  <c r="A189" i="1"/>
  <c r="D188" i="1"/>
  <c r="C188" i="1"/>
  <c r="A188" i="1"/>
  <c r="D187" i="1"/>
  <c r="C187" i="1"/>
  <c r="A187" i="1"/>
  <c r="D186" i="1"/>
  <c r="C186" i="1"/>
  <c r="A186" i="1"/>
  <c r="D185" i="1"/>
  <c r="C185" i="1"/>
  <c r="A185" i="1"/>
  <c r="D184" i="1"/>
  <c r="C184" i="1"/>
  <c r="A184" i="1"/>
  <c r="D183" i="1"/>
  <c r="C183" i="1"/>
  <c r="A183" i="1"/>
  <c r="D182" i="1"/>
  <c r="C182" i="1"/>
  <c r="A182" i="1"/>
  <c r="D181" i="1"/>
  <c r="C181" i="1"/>
  <c r="A181" i="1"/>
  <c r="D180" i="1"/>
  <c r="C180" i="1"/>
  <c r="A180" i="1"/>
  <c r="D179" i="1"/>
  <c r="C179" i="1"/>
  <c r="A179" i="1"/>
  <c r="D178" i="1"/>
  <c r="C178" i="1"/>
  <c r="A178" i="1"/>
  <c r="D177" i="1"/>
  <c r="C177" i="1"/>
  <c r="A177" i="1"/>
  <c r="D176" i="1"/>
  <c r="C176" i="1"/>
  <c r="A176" i="1"/>
  <c r="D175" i="1"/>
  <c r="C175" i="1"/>
  <c r="A175" i="1"/>
  <c r="D174" i="1"/>
  <c r="C174" i="1"/>
  <c r="A174" i="1"/>
  <c r="D173" i="1"/>
  <c r="C173" i="1"/>
  <c r="A173" i="1"/>
  <c r="D172" i="1"/>
  <c r="C172" i="1"/>
  <c r="A172" i="1"/>
  <c r="D171" i="1"/>
  <c r="C171" i="1"/>
  <c r="A171" i="1"/>
  <c r="D170" i="1"/>
  <c r="C170" i="1"/>
  <c r="A170" i="1"/>
  <c r="D169" i="1"/>
  <c r="C169" i="1"/>
  <c r="A169" i="1"/>
  <c r="D168" i="1"/>
  <c r="C168" i="1"/>
  <c r="A168" i="1"/>
  <c r="D167" i="1"/>
  <c r="C167" i="1"/>
  <c r="A167" i="1"/>
  <c r="D166" i="1"/>
  <c r="C166" i="1"/>
  <c r="A166" i="1"/>
  <c r="D165" i="1"/>
  <c r="C165" i="1"/>
  <c r="A165" i="1"/>
  <c r="D164" i="1"/>
  <c r="C164" i="1"/>
  <c r="A164" i="1"/>
  <c r="D163" i="1"/>
  <c r="C163" i="1"/>
  <c r="A163" i="1"/>
  <c r="D162" i="1"/>
  <c r="C162" i="1"/>
  <c r="A162" i="1"/>
  <c r="D161" i="1"/>
  <c r="C161" i="1"/>
  <c r="A161" i="1"/>
  <c r="D160" i="1"/>
  <c r="C160" i="1"/>
  <c r="A160" i="1"/>
  <c r="D159" i="1"/>
  <c r="C159" i="1"/>
  <c r="A159" i="1"/>
  <c r="D158" i="1"/>
  <c r="C158" i="1"/>
  <c r="A158" i="1"/>
  <c r="D157" i="1"/>
  <c r="C157" i="1"/>
  <c r="A157" i="1"/>
  <c r="D156" i="1"/>
  <c r="C156" i="1"/>
  <c r="A156" i="1"/>
  <c r="D155" i="1"/>
  <c r="C155" i="1"/>
  <c r="A155" i="1"/>
  <c r="D154" i="1"/>
  <c r="C154" i="1"/>
  <c r="A154" i="1"/>
  <c r="D153" i="1"/>
  <c r="C153" i="1"/>
  <c r="A153" i="1"/>
  <c r="D152" i="1"/>
  <c r="C152" i="1"/>
  <c r="A152" i="1"/>
  <c r="D151" i="1"/>
  <c r="C151" i="1"/>
  <c r="A151" i="1"/>
  <c r="D150" i="1"/>
  <c r="C150" i="1"/>
  <c r="A150" i="1"/>
  <c r="D149" i="1"/>
  <c r="C149" i="1"/>
  <c r="A149" i="1"/>
  <c r="D148" i="1"/>
  <c r="C148" i="1"/>
  <c r="A148" i="1"/>
  <c r="D147" i="1"/>
  <c r="C147" i="1"/>
  <c r="A147" i="1"/>
  <c r="D146" i="1"/>
  <c r="C146" i="1"/>
  <c r="A146" i="1"/>
  <c r="D145" i="1"/>
  <c r="C145" i="1"/>
  <c r="A145" i="1"/>
  <c r="D144" i="1"/>
  <c r="C144" i="1"/>
  <c r="A144" i="1"/>
  <c r="D143" i="1"/>
  <c r="C143" i="1"/>
  <c r="A143" i="1"/>
  <c r="D142" i="1"/>
  <c r="C142" i="1"/>
  <c r="A142" i="1"/>
  <c r="D141" i="1"/>
  <c r="C141" i="1"/>
  <c r="A141" i="1"/>
  <c r="D140" i="1"/>
  <c r="C140" i="1"/>
  <c r="A140" i="1"/>
  <c r="D139" i="1"/>
  <c r="C139" i="1"/>
  <c r="A139" i="1"/>
  <c r="D138" i="1"/>
  <c r="C138" i="1"/>
  <c r="A138" i="1"/>
  <c r="D137" i="1"/>
  <c r="C137" i="1"/>
  <c r="A137" i="1"/>
  <c r="D136" i="1"/>
  <c r="C136" i="1"/>
  <c r="A136" i="1"/>
  <c r="D135" i="1"/>
  <c r="C135" i="1"/>
  <c r="A135" i="1"/>
  <c r="D134" i="1"/>
  <c r="C134" i="1"/>
  <c r="A134" i="1"/>
  <c r="D133" i="1"/>
  <c r="C133" i="1"/>
  <c r="A133" i="1"/>
  <c r="D132" i="1"/>
  <c r="C132" i="1"/>
  <c r="A132" i="1"/>
  <c r="D131" i="1"/>
  <c r="C131" i="1"/>
  <c r="A131" i="1"/>
  <c r="D130" i="1"/>
  <c r="C130" i="1"/>
  <c r="A130" i="1"/>
  <c r="D129" i="1"/>
  <c r="C129" i="1"/>
  <c r="A129" i="1"/>
  <c r="D128" i="1"/>
  <c r="C128" i="1"/>
  <c r="A128" i="1"/>
  <c r="D127" i="1"/>
  <c r="C127" i="1"/>
  <c r="A127" i="1"/>
  <c r="D126" i="1"/>
  <c r="C126" i="1"/>
  <c r="A126" i="1"/>
  <c r="D125" i="1"/>
  <c r="C125" i="1"/>
  <c r="A125" i="1"/>
  <c r="D124" i="1"/>
  <c r="C124" i="1"/>
  <c r="A124" i="1"/>
  <c r="D123" i="1"/>
  <c r="C123" i="1"/>
  <c r="A123" i="1"/>
  <c r="D122" i="1"/>
  <c r="C122" i="1"/>
  <c r="A122" i="1"/>
  <c r="D121" i="1"/>
  <c r="C121" i="1"/>
  <c r="A121" i="1"/>
  <c r="D120" i="1"/>
  <c r="C120" i="1"/>
  <c r="A120" i="1"/>
  <c r="D119" i="1"/>
  <c r="C119" i="1"/>
  <c r="A119" i="1"/>
  <c r="D118" i="1"/>
  <c r="C118" i="1"/>
  <c r="A118" i="1"/>
  <c r="D117" i="1"/>
  <c r="C117" i="1"/>
  <c r="A117" i="1"/>
  <c r="D116" i="1"/>
  <c r="C116" i="1"/>
  <c r="A116" i="1"/>
  <c r="D115" i="1"/>
  <c r="C115" i="1"/>
  <c r="A115" i="1"/>
  <c r="D114" i="1"/>
  <c r="C114" i="1"/>
  <c r="A114" i="1"/>
  <c r="D113" i="1"/>
  <c r="C113" i="1"/>
  <c r="A113" i="1"/>
  <c r="D112" i="1"/>
  <c r="C112" i="1"/>
  <c r="A112" i="1"/>
  <c r="D111" i="1"/>
  <c r="C111" i="1"/>
  <c r="A111" i="1"/>
  <c r="D110" i="1"/>
  <c r="C110" i="1"/>
  <c r="A110" i="1"/>
  <c r="D109" i="1"/>
  <c r="C109" i="1"/>
  <c r="A109" i="1"/>
  <c r="D108" i="1"/>
  <c r="C108" i="1"/>
  <c r="A108" i="1"/>
  <c r="D107" i="1"/>
  <c r="C107" i="1"/>
  <c r="A107" i="1"/>
  <c r="D106" i="1"/>
  <c r="C106" i="1"/>
  <c r="A106" i="1"/>
  <c r="D105" i="1"/>
  <c r="C105" i="1"/>
  <c r="A105" i="1"/>
  <c r="D104" i="1"/>
  <c r="C104" i="1"/>
  <c r="A104" i="1"/>
  <c r="D103" i="1"/>
  <c r="C103" i="1"/>
  <c r="A103" i="1"/>
  <c r="D102" i="1"/>
  <c r="C102" i="1"/>
  <c r="A102" i="1"/>
  <c r="D101" i="1"/>
  <c r="C101" i="1"/>
  <c r="A101" i="1"/>
  <c r="D100" i="1"/>
  <c r="C100" i="1"/>
  <c r="A100" i="1"/>
  <c r="D99" i="1"/>
  <c r="C99" i="1"/>
  <c r="A99" i="1"/>
  <c r="D98" i="1"/>
  <c r="C98" i="1"/>
  <c r="A98" i="1"/>
  <c r="D97" i="1"/>
  <c r="C97" i="1"/>
  <c r="A97" i="1"/>
  <c r="D96" i="1"/>
  <c r="C96" i="1"/>
  <c r="A96" i="1"/>
  <c r="D95" i="1"/>
  <c r="C95" i="1"/>
  <c r="A95" i="1"/>
  <c r="D94" i="1"/>
  <c r="C94" i="1"/>
  <c r="A94" i="1"/>
  <c r="D93" i="1"/>
  <c r="C93" i="1"/>
  <c r="A93" i="1"/>
  <c r="D92" i="1"/>
  <c r="C92" i="1"/>
  <c r="A92" i="1"/>
  <c r="D91" i="1"/>
  <c r="C91" i="1"/>
  <c r="A91" i="1"/>
  <c r="D90" i="1"/>
  <c r="C90" i="1"/>
  <c r="A90" i="1"/>
  <c r="D89" i="1"/>
  <c r="C89" i="1"/>
  <c r="A89" i="1"/>
  <c r="D88" i="1"/>
  <c r="C88" i="1"/>
  <c r="A88" i="1"/>
  <c r="D87" i="1"/>
  <c r="C87" i="1"/>
  <c r="A87" i="1"/>
  <c r="D86" i="1"/>
  <c r="C86" i="1"/>
  <c r="A86" i="1"/>
  <c r="D85" i="1"/>
  <c r="C85" i="1"/>
  <c r="A85" i="1"/>
  <c r="D84" i="1"/>
  <c r="C84" i="1"/>
  <c r="A84" i="1"/>
  <c r="D83" i="1"/>
  <c r="C83" i="1"/>
  <c r="A83" i="1"/>
  <c r="D82" i="1"/>
  <c r="C82" i="1"/>
  <c r="A82" i="1"/>
  <c r="D81" i="1"/>
  <c r="C81" i="1"/>
  <c r="A81" i="1"/>
  <c r="D80" i="1"/>
  <c r="C80" i="1"/>
  <c r="A80" i="1"/>
  <c r="D79" i="1"/>
  <c r="C79" i="1"/>
  <c r="A79" i="1"/>
  <c r="D78" i="1"/>
  <c r="C78" i="1"/>
  <c r="A78" i="1"/>
  <c r="D77" i="1"/>
  <c r="C77" i="1"/>
  <c r="A77" i="1"/>
  <c r="D76" i="1"/>
  <c r="C76" i="1"/>
  <c r="A76" i="1"/>
  <c r="D75" i="1"/>
  <c r="C75" i="1"/>
  <c r="A75" i="1"/>
  <c r="D74" i="1"/>
  <c r="C74" i="1"/>
  <c r="A74" i="1"/>
  <c r="D73" i="1"/>
  <c r="C73" i="1"/>
  <c r="A73" i="1"/>
  <c r="D72" i="1"/>
  <c r="C72" i="1"/>
  <c r="A72" i="1"/>
  <c r="D71" i="1"/>
  <c r="C71" i="1"/>
  <c r="A71" i="1"/>
  <c r="D70" i="1"/>
  <c r="C70" i="1"/>
  <c r="A70" i="1"/>
  <c r="D69" i="1"/>
  <c r="C69" i="1"/>
  <c r="A69" i="1"/>
  <c r="D68" i="1"/>
  <c r="C68" i="1"/>
  <c r="A68" i="1"/>
  <c r="D67" i="1"/>
  <c r="C67" i="1"/>
  <c r="A67" i="1"/>
  <c r="D66" i="1"/>
  <c r="C66" i="1"/>
  <c r="A66" i="1"/>
  <c r="D65" i="1"/>
  <c r="C65" i="1"/>
  <c r="A65" i="1"/>
  <c r="D64" i="1"/>
  <c r="C64" i="1"/>
  <c r="A64" i="1"/>
  <c r="D63" i="1"/>
  <c r="C63" i="1"/>
  <c r="A63" i="1"/>
  <c r="D62" i="1"/>
  <c r="C62" i="1"/>
  <c r="A62" i="1"/>
  <c r="D61" i="1"/>
  <c r="C61" i="1"/>
  <c r="A61" i="1"/>
  <c r="D60" i="1"/>
  <c r="C60" i="1"/>
  <c r="A60" i="1"/>
  <c r="D59" i="1"/>
  <c r="C59" i="1"/>
  <c r="A59" i="1"/>
  <c r="D58" i="1"/>
  <c r="C58" i="1"/>
  <c r="A58" i="1"/>
  <c r="D57" i="1"/>
  <c r="C57" i="1"/>
  <c r="A57" i="1"/>
  <c r="D56" i="1"/>
  <c r="C56" i="1"/>
  <c r="A56" i="1"/>
  <c r="D55" i="1"/>
  <c r="C55" i="1"/>
  <c r="A55" i="1"/>
  <c r="D54" i="1"/>
  <c r="C54" i="1"/>
  <c r="A54" i="1"/>
  <c r="D53" i="1"/>
  <c r="C53" i="1"/>
  <c r="A53" i="1"/>
  <c r="D52" i="1"/>
  <c r="C52" i="1"/>
  <c r="A52" i="1"/>
  <c r="D51" i="1"/>
  <c r="C51" i="1"/>
  <c r="A51" i="1"/>
  <c r="D50" i="1"/>
  <c r="C50" i="1"/>
  <c r="A50" i="1"/>
  <c r="D49" i="1"/>
  <c r="C49" i="1"/>
  <c r="A49" i="1"/>
  <c r="D48" i="1"/>
  <c r="C48" i="1"/>
  <c r="A48" i="1"/>
  <c r="D47" i="1"/>
  <c r="C47" i="1"/>
  <c r="A47" i="1"/>
  <c r="D46" i="1"/>
  <c r="C46" i="1"/>
  <c r="A46" i="1"/>
  <c r="D45" i="1"/>
  <c r="C45" i="1"/>
  <c r="A45" i="1"/>
  <c r="D44" i="1"/>
  <c r="C44" i="1"/>
  <c r="A44" i="1"/>
  <c r="D43" i="1"/>
  <c r="C43" i="1"/>
  <c r="A43" i="1"/>
  <c r="D42" i="1"/>
  <c r="C42" i="1"/>
  <c r="A42" i="1"/>
  <c r="D41" i="1"/>
  <c r="C41" i="1"/>
  <c r="A41" i="1"/>
  <c r="D40" i="1"/>
  <c r="C40" i="1"/>
  <c r="A40" i="1"/>
  <c r="D39" i="1"/>
  <c r="C39" i="1"/>
  <c r="A39" i="1"/>
  <c r="D38" i="1"/>
  <c r="C38" i="1"/>
  <c r="A38" i="1"/>
  <c r="D37" i="1"/>
  <c r="C37" i="1"/>
  <c r="A37" i="1"/>
  <c r="D36" i="1"/>
  <c r="C36" i="1"/>
  <c r="A36" i="1"/>
  <c r="D35" i="1"/>
  <c r="C35" i="1"/>
  <c r="A35" i="1"/>
  <c r="D34" i="1"/>
  <c r="C34" i="1"/>
  <c r="A34" i="1"/>
  <c r="D33" i="1"/>
  <c r="C33" i="1"/>
  <c r="A33" i="1"/>
  <c r="D32" i="1"/>
  <c r="C32" i="1"/>
  <c r="A32" i="1"/>
  <c r="D31" i="1"/>
  <c r="C31" i="1"/>
  <c r="A31" i="1"/>
  <c r="D30" i="1"/>
  <c r="C30" i="1"/>
  <c r="A30" i="1"/>
  <c r="D29" i="1"/>
  <c r="C29" i="1"/>
  <c r="A29" i="1"/>
  <c r="D28" i="1"/>
  <c r="C28" i="1"/>
  <c r="A28" i="1"/>
  <c r="D27" i="1"/>
  <c r="C27" i="1"/>
  <c r="A27" i="1"/>
  <c r="D26" i="1"/>
  <c r="C26" i="1"/>
  <c r="A26" i="1"/>
  <c r="D25" i="1"/>
  <c r="C25" i="1"/>
  <c r="A25" i="1"/>
  <c r="D24" i="1"/>
  <c r="C24" i="1"/>
  <c r="A24" i="1"/>
  <c r="D23" i="1"/>
  <c r="C23" i="1"/>
  <c r="A23" i="1"/>
  <c r="D22" i="1"/>
  <c r="C22" i="1"/>
  <c r="A22" i="1"/>
  <c r="D21" i="1"/>
  <c r="C21" i="1"/>
  <c r="A21" i="1"/>
  <c r="D20" i="1"/>
  <c r="C20" i="1"/>
  <c r="A20" i="1"/>
  <c r="D19" i="1"/>
  <c r="C19" i="1"/>
  <c r="A19" i="1"/>
  <c r="D18" i="1"/>
  <c r="C18" i="1"/>
  <c r="A18" i="1"/>
  <c r="D17" i="1"/>
  <c r="C17" i="1"/>
  <c r="A17" i="1"/>
  <c r="D16" i="1"/>
  <c r="C16" i="1"/>
  <c r="A16" i="1"/>
  <c r="D15" i="1"/>
  <c r="C15" i="1"/>
  <c r="A15" i="1"/>
  <c r="D14" i="1"/>
  <c r="C14" i="1"/>
  <c r="A14" i="1"/>
  <c r="D12" i="1"/>
  <c r="C12" i="1"/>
  <c r="A12" i="1"/>
</calcChain>
</file>

<file path=xl/sharedStrings.xml><?xml version="1.0" encoding="utf-8"?>
<sst xmlns="http://schemas.openxmlformats.org/spreadsheetml/2006/main" count="671" uniqueCount="618">
  <si>
    <t/>
  </si>
  <si>
    <t>Download details</t>
  </si>
  <si>
    <t>Parametric details for:</t>
  </si>
  <si>
    <t>Diodes</t>
  </si>
  <si>
    <t>File generated on:</t>
  </si>
  <si>
    <t xml:space="preserve">29 Jun 2026 11:10 AM </t>
  </si>
  <si>
    <t>Filter details:</t>
  </si>
  <si>
    <t>https://www.ti.com/product-category/passive-discrete/diodes/products.html</t>
  </si>
  <si>
    <t>Note:</t>
  </si>
  <si>
    <t>This file contains only enabled columns.To see more data, enable additional columns on TI.com and then re-export</t>
  </si>
  <si>
    <t>To hide orderable part number details, select all contents, go to the Data tab and click Hide Detail</t>
  </si>
  <si>
    <t>Product or Part number</t>
  </si>
  <si>
    <t>Vrwm (V)</t>
  </si>
  <si>
    <t>PDF datasheet</t>
  </si>
  <si>
    <t>HTML datasheet</t>
  </si>
  <si>
    <t>Number of channels</t>
  </si>
  <si>
    <t>Bi-/uni-directional</t>
  </si>
  <si>
    <t>Package name</t>
  </si>
  <si>
    <t>Peak pulse power (8/20 μs) (max) (W)</t>
  </si>
  <si>
    <t>IO capacitance (typ) (pF)</t>
  </si>
  <si>
    <t>IEC 61000-4-2 contact (k±V)</t>
  </si>
  <si>
    <t>IEC 61000-4-5 (A)</t>
  </si>
  <si>
    <t>Clamping voltage (V)</t>
  </si>
  <si>
    <t>Price|Quantity (USD)</t>
  </si>
  <si>
    <t>Pin count</t>
  </si>
  <si>
    <t>Status</t>
  </si>
  <si>
    <t>Uni-Directional</t>
  </si>
  <si>
    <t>DFN1006</t>
  </si>
  <si>
    <t>ACTIVE</t>
  </si>
  <si>
    <t>Bi-directional</t>
  </si>
  <si>
    <t>DFN1006</t>
  </si>
  <si>
    <t>ACTIVE</t>
  </si>
  <si>
    <t>Uni-Directional</t>
  </si>
  <si>
    <t>ACTIVE</t>
  </si>
  <si>
    <t>Bi-directional</t>
  </si>
  <si>
    <t>DFN1110-3</t>
  </si>
  <si>
    <t>ACTIVE</t>
  </si>
  <si>
    <t>Bi-directional</t>
  </si>
  <si>
    <t>DFN1110-3</t>
  </si>
  <si>
    <t>ACTIVE</t>
  </si>
  <si>
    <t>Bi-directional</t>
  </si>
  <si>
    <t>DFN1110-3</t>
  </si>
  <si>
    <t>ACTIVE</t>
  </si>
  <si>
    <t>Bi-directional</t>
  </si>
  <si>
    <t>DFN1110-3</t>
  </si>
  <si>
    <t>ACTIVE</t>
  </si>
  <si>
    <t>SOT-23-3</t>
  </si>
  <si>
    <t>ACTIVE</t>
  </si>
  <si>
    <t>SOT-SC70</t>
  </si>
  <si>
    <t>ACTIVE</t>
  </si>
  <si>
    <t>SOT-SC70</t>
  </si>
  <si>
    <t>ACTIVE</t>
  </si>
  <si>
    <t>DFN1006</t>
  </si>
  <si>
    <t>ACTIVE</t>
  </si>
  <si>
    <t>DFN1006</t>
  </si>
  <si>
    <t>ACTIVE</t>
  </si>
  <si>
    <t>Uni-Directional</t>
  </si>
  <si>
    <t>DFN0603</t>
  </si>
  <si>
    <t>ACTIVE</t>
  </si>
  <si>
    <t>DFN1006</t>
  </si>
  <si>
    <t>ACTIVE</t>
  </si>
  <si>
    <t>DFN1006</t>
  </si>
  <si>
    <t>ACTIVE</t>
  </si>
  <si>
    <t>DFN1006</t>
  </si>
  <si>
    <t>ACTIVE</t>
  </si>
  <si>
    <t>DFN1006</t>
  </si>
  <si>
    <t>ACTIVE</t>
  </si>
  <si>
    <t>Bi-directional</t>
  </si>
  <si>
    <t>DFN1110-3</t>
  </si>
  <si>
    <t>ACTIVE</t>
  </si>
  <si>
    <t>DFN1006</t>
  </si>
  <si>
    <t>ACTIVE</t>
  </si>
  <si>
    <t>DFN1006</t>
  </si>
  <si>
    <t>ACTIVE</t>
  </si>
  <si>
    <t>DFN1006</t>
  </si>
  <si>
    <t>ACTIVE</t>
  </si>
  <si>
    <t>DFN1006</t>
  </si>
  <si>
    <t>ACTIVE</t>
  </si>
  <si>
    <t>Uni-Directional</t>
  </si>
  <si>
    <t>ACTIVE</t>
  </si>
  <si>
    <t>DFN1006</t>
  </si>
  <si>
    <t>ACTIVE</t>
  </si>
  <si>
    <t>DFN1006</t>
  </si>
  <si>
    <t>ACTIVE</t>
  </si>
  <si>
    <t>SOT-23-3</t>
  </si>
  <si>
    <t>ACTIVE</t>
  </si>
  <si>
    <t>DFN1006</t>
  </si>
  <si>
    <t>ACTIVE</t>
  </si>
  <si>
    <t>DFN1006</t>
  </si>
  <si>
    <t>ACTIVE</t>
  </si>
  <si>
    <t>DFN1006</t>
  </si>
  <si>
    <t>ACTIVE</t>
  </si>
  <si>
    <t>DFN1006</t>
  </si>
  <si>
    <t>ACTIVE</t>
  </si>
  <si>
    <t>DFN1006</t>
  </si>
  <si>
    <t>ACTIVE</t>
  </si>
  <si>
    <t>DFN1006</t>
  </si>
  <si>
    <t>ACTIVE</t>
  </si>
  <si>
    <t>DFN1006</t>
  </si>
  <si>
    <t>ACTIVE</t>
  </si>
  <si>
    <t>DFN1006</t>
  </si>
  <si>
    <t>ACTIVE</t>
  </si>
  <si>
    <t>SOT-23-3</t>
  </si>
  <si>
    <t>ACTIVE</t>
  </si>
  <si>
    <t>SOT-23-3</t>
  </si>
  <si>
    <t>ACTIVE</t>
  </si>
  <si>
    <t>SOT-23-3</t>
  </si>
  <si>
    <t>ACTIVE</t>
  </si>
  <si>
    <t>SOT-23-3</t>
  </si>
  <si>
    <t>ACTIVE</t>
  </si>
  <si>
    <t>SOT-23-3</t>
  </si>
  <si>
    <t>ACTIVE</t>
  </si>
  <si>
    <t>SOT-23-3</t>
  </si>
  <si>
    <t>ACTIVE</t>
  </si>
  <si>
    <t>SOT-23-3</t>
  </si>
  <si>
    <t>ACTIVE</t>
  </si>
  <si>
    <t>SOT-23-3</t>
  </si>
  <si>
    <t>ACTIVE</t>
  </si>
  <si>
    <t>SOT-23-3</t>
  </si>
  <si>
    <t>ACTIVE</t>
  </si>
  <si>
    <t>SOT-23-3</t>
  </si>
  <si>
    <t>ACTIVE</t>
  </si>
  <si>
    <t>Uni-Directional</t>
  </si>
  <si>
    <t>ACTIVE</t>
  </si>
  <si>
    <t>SC70-3</t>
  </si>
  <si>
    <t>ACTIVE</t>
  </si>
  <si>
    <t>SC70-3</t>
  </si>
  <si>
    <t>ACTIVE</t>
  </si>
  <si>
    <t>SC70-3</t>
  </si>
  <si>
    <t>ACTIVE</t>
  </si>
  <si>
    <t>SC70-3</t>
  </si>
  <si>
    <t>ACTIVE</t>
  </si>
  <si>
    <t>SC70-3</t>
  </si>
  <si>
    <t>ACTIVE</t>
  </si>
  <si>
    <t>SC70-3</t>
  </si>
  <si>
    <t/>
  </si>
  <si>
    <t>ACTIVE</t>
  </si>
  <si>
    <t>SC70-3</t>
  </si>
  <si>
    <t>ACTIVE</t>
  </si>
  <si>
    <t>SC70-3</t>
  </si>
  <si>
    <t>ACTIVE</t>
  </si>
  <si>
    <t>SC70-3</t>
  </si>
  <si>
    <t>ACTIVE</t>
  </si>
  <si>
    <t>SC70-3</t>
  </si>
  <si>
    <t>ACTIVE</t>
  </si>
  <si>
    <t>Uni-Directional</t>
  </si>
  <si>
    <t>SOT-23-3</t>
  </si>
  <si>
    <t>ACTIVE</t>
  </si>
  <si>
    <t>Uni-Directional</t>
  </si>
  <si>
    <t>SOD323</t>
  </si>
  <si>
    <t>ACTIVE</t>
  </si>
  <si>
    <t>Uni-Directional</t>
  </si>
  <si>
    <t>SOD323</t>
  </si>
  <si>
    <t>ACTIVE</t>
  </si>
  <si>
    <t>Uni-Directional</t>
  </si>
  <si>
    <t>SOD323</t>
  </si>
  <si>
    <t>ACTIVE</t>
  </si>
  <si>
    <t>Uni-Directional</t>
  </si>
  <si>
    <t>SOD323</t>
  </si>
  <si>
    <t>ACTIVE</t>
  </si>
  <si>
    <t>Uni-Directional</t>
  </si>
  <si>
    <t>SOD323</t>
  </si>
  <si>
    <t>ACTIVE</t>
  </si>
  <si>
    <t>Uni-Directional</t>
  </si>
  <si>
    <t>SOT-23-3</t>
  </si>
  <si>
    <t>ACTIVE</t>
  </si>
  <si>
    <t>Uni-Directional</t>
  </si>
  <si>
    <t>SOT-23-3</t>
  </si>
  <si>
    <t>ACTIVE</t>
  </si>
  <si>
    <t>Uni-Directional</t>
  </si>
  <si>
    <t>SOT-23-3</t>
  </si>
  <si>
    <t>ACTIVE</t>
  </si>
  <si>
    <t>SC70-3</t>
  </si>
  <si>
    <t>ACTIVE</t>
  </si>
  <si>
    <t>SC70-3</t>
  </si>
  <si>
    <t>ACTIVE</t>
  </si>
  <si>
    <t>Uni-Directional</t>
  </si>
  <si>
    <t>SOD323</t>
  </si>
  <si>
    <t>ACTIVE</t>
  </si>
  <si>
    <t>Uni-Directional</t>
  </si>
  <si>
    <t>SOD323</t>
  </si>
  <si>
    <t>ACTIVE</t>
  </si>
  <si>
    <t>Uni-Directional</t>
  </si>
  <si>
    <t>SOD323</t>
  </si>
  <si>
    <t>ACTIVE</t>
  </si>
  <si>
    <t>Uni-Directional</t>
  </si>
  <si>
    <t>SOD323</t>
  </si>
  <si>
    <t>ACTIVE</t>
  </si>
  <si>
    <t>Uni-Directional</t>
  </si>
  <si>
    <t>SOD323</t>
  </si>
  <si>
    <t>ACTIVE</t>
  </si>
  <si>
    <t>Uni-Directional</t>
  </si>
  <si>
    <t>SOT-23-3</t>
  </si>
  <si>
    <t>ACTIVE</t>
  </si>
  <si>
    <t>Bi-directional</t>
  </si>
  <si>
    <t>SOT-23-3</t>
  </si>
  <si>
    <t>ACTIVE</t>
  </si>
  <si>
    <t>SC70-3</t>
  </si>
  <si>
    <t>ACTIVE</t>
  </si>
  <si>
    <t>SOT-23-3</t>
  </si>
  <si>
    <t>ACTIVE</t>
  </si>
  <si>
    <t>SC70-3</t>
  </si>
  <si>
    <t>ACTIVE</t>
  </si>
  <si>
    <t>Bi-directional</t>
  </si>
  <si>
    <t>SOT-23-3</t>
  </si>
  <si>
    <t>ACTIVE</t>
  </si>
  <si>
    <t>Uni-Directional</t>
  </si>
  <si>
    <t>SOD323</t>
  </si>
  <si>
    <t>ACTIVE</t>
  </si>
  <si>
    <t>SC70-3</t>
  </si>
  <si>
    <t>ACTIVE</t>
  </si>
  <si>
    <t>SC70-3</t>
  </si>
  <si>
    <t>ACTIVE</t>
  </si>
  <si>
    <t>SC70-3</t>
  </si>
  <si>
    <t>ACTIVE</t>
  </si>
  <si>
    <t>SC70-3</t>
  </si>
  <si>
    <t>ACTIVE</t>
  </si>
  <si>
    <t>Bi-directional</t>
  </si>
  <si>
    <t>SOD323</t>
  </si>
  <si>
    <t>ACTIVE</t>
  </si>
  <si>
    <t>Bi-directional</t>
  </si>
  <si>
    <t>DFN1006</t>
  </si>
  <si>
    <t>ACTIVE</t>
  </si>
  <si>
    <t>SOT-23-3</t>
  </si>
  <si>
    <t>ACTIVE</t>
  </si>
  <si>
    <t>SOT-23-3</t>
  </si>
  <si>
    <t>ACTIVE</t>
  </si>
  <si>
    <t>SOT-23-3</t>
  </si>
  <si>
    <t>ACTIVE</t>
  </si>
  <si>
    <t>SOT-23-3</t>
  </si>
  <si>
    <t>ACTIVE</t>
  </si>
  <si>
    <t>SOT-23-3</t>
  </si>
  <si>
    <t>ACTIVE</t>
  </si>
  <si>
    <t>Bi-directional</t>
  </si>
  <si>
    <t>DFN1006</t>
  </si>
  <si>
    <t>ACTIVE</t>
  </si>
  <si>
    <t>SOT-23-3</t>
  </si>
  <si>
    <t>ACTIVE</t>
  </si>
  <si>
    <t>Bi-directional</t>
  </si>
  <si>
    <t>SOD323</t>
  </si>
  <si>
    <t>ACTIVE</t>
  </si>
  <si>
    <t>SOT-23-3</t>
  </si>
  <si>
    <t>ACTIVE</t>
  </si>
  <si>
    <t>Bi-directional</t>
  </si>
  <si>
    <t>DFN1006</t>
  </si>
  <si>
    <t>ACTIVE</t>
  </si>
  <si>
    <t>Uni-Directional</t>
  </si>
  <si>
    <t>SOT-23-3</t>
  </si>
  <si>
    <t>ACTIVE</t>
  </si>
  <si>
    <t>Uni-Directional</t>
  </si>
  <si>
    <t>SOT-23-3</t>
  </si>
  <si>
    <t>ACTIVE</t>
  </si>
  <si>
    <t>Bi-directional</t>
  </si>
  <si>
    <t>DFN1006</t>
  </si>
  <si>
    <t>ACTIVE</t>
  </si>
  <si>
    <t>Bi-directional</t>
  </si>
  <si>
    <t>DFN1006</t>
  </si>
  <si>
    <t>ACTIVE</t>
  </si>
  <si>
    <t>Bi-directional</t>
  </si>
  <si>
    <t>DFN1006</t>
  </si>
  <si>
    <t>ACTIVE</t>
  </si>
  <si>
    <t>Bi-directional</t>
  </si>
  <si>
    <t>SOD323</t>
  </si>
  <si>
    <t>ACTIVE</t>
  </si>
  <si>
    <t>Bi-directional</t>
  </si>
  <si>
    <t>SOD323</t>
  </si>
  <si>
    <t>ACTIVE</t>
  </si>
  <si>
    <t>Bi-directional</t>
  </si>
  <si>
    <t>SOD323</t>
  </si>
  <si>
    <t>ACTIVE</t>
  </si>
  <si>
    <t>Bi-directional</t>
  </si>
  <si>
    <t>SOD323</t>
  </si>
  <si>
    <t>ACTIVE</t>
  </si>
  <si>
    <t>Bi-directional</t>
  </si>
  <si>
    <t>SOD323</t>
  </si>
  <si>
    <t>ACTIVE</t>
  </si>
  <si>
    <t>Bi-directional</t>
  </si>
  <si>
    <t>SOD323</t>
  </si>
  <si>
    <t>ACTIVE</t>
  </si>
  <si>
    <t>Bi-directional</t>
  </si>
  <si>
    <t>SOD323</t>
  </si>
  <si>
    <t>ACTIVE</t>
  </si>
  <si>
    <t>Bi-directional</t>
  </si>
  <si>
    <t>SOD323</t>
  </si>
  <si>
    <t>ACTIVE</t>
  </si>
  <si>
    <t>Bi-directional</t>
  </si>
  <si>
    <t>DFN1006</t>
  </si>
  <si>
    <t>ACTIVE</t>
  </si>
  <si>
    <t>Bi-directional</t>
  </si>
  <si>
    <t>DFN1006</t>
  </si>
  <si>
    <t>ACTIVE</t>
  </si>
  <si>
    <t>Bi-directional</t>
  </si>
  <si>
    <t>SOD323</t>
  </si>
  <si>
    <t>ACTIVE</t>
  </si>
  <si>
    <t>Bi-directional</t>
  </si>
  <si>
    <t>SOT-23-3</t>
  </si>
  <si>
    <t>ACTIVE</t>
  </si>
  <si>
    <t>Bi-directional</t>
  </si>
  <si>
    <t>SOD323</t>
  </si>
  <si>
    <t>ACTIVE</t>
  </si>
  <si>
    <t>Bi-directional</t>
  </si>
  <si>
    <t>SOT-23-3</t>
  </si>
  <si>
    <t>ACTIVE</t>
  </si>
  <si>
    <t>Bi-directional</t>
  </si>
  <si>
    <t>SOT-23-3</t>
  </si>
  <si>
    <t>ACTIVE</t>
  </si>
  <si>
    <t>Bi-directional</t>
  </si>
  <si>
    <t>SOT-23-3</t>
  </si>
  <si>
    <t>ACTIVE</t>
  </si>
  <si>
    <t>Bi-directional</t>
  </si>
  <si>
    <t>SOT-23-3</t>
  </si>
  <si>
    <t>ACTIVE</t>
  </si>
  <si>
    <t>Bi-directional</t>
  </si>
  <si>
    <t>SC70-3,SOT-23-3</t>
  </si>
  <si>
    <t>ACTIVE</t>
  </si>
  <si>
    <t>Bi-directional</t>
  </si>
  <si>
    <t>SC70-3,SOT-23-3</t>
  </si>
  <si>
    <t>ACTIVE</t>
  </si>
  <si>
    <t>Bi-directional</t>
  </si>
  <si>
    <t>SOT-23-3</t>
  </si>
  <si>
    <t>ACTIVE</t>
  </si>
  <si>
    <t>Bi-directional</t>
  </si>
  <si>
    <t>SOT-23-3</t>
  </si>
  <si>
    <t>ACTIVE</t>
  </si>
  <si>
    <t>Uni-Directional</t>
  </si>
  <si>
    <t>SOD323</t>
  </si>
  <si>
    <t>ACTIVE</t>
  </si>
  <si>
    <t>Bi-directional</t>
  </si>
  <si>
    <t>SOT-23-3</t>
  </si>
  <si>
    <t>ACTIVE</t>
  </si>
  <si>
    <t>Bi-directional</t>
  </si>
  <si>
    <t>DFN1110-3</t>
  </si>
  <si>
    <t>ACTIVE</t>
  </si>
  <si>
    <t>Uni-Directional</t>
  </si>
  <si>
    <t>SOT-23-3</t>
  </si>
  <si>
    <t>35,38</t>
  </si>
  <si>
    <t>ACTIVE</t>
  </si>
  <si>
    <t>Bi-directional</t>
  </si>
  <si>
    <t>SOT-23-3</t>
  </si>
  <si>
    <t>ACTIVE</t>
  </si>
  <si>
    <t>Uni-Directional</t>
  </si>
  <si>
    <t>SOT-23-3</t>
  </si>
  <si>
    <t>ACTIVE</t>
  </si>
  <si>
    <t>Bi-directional</t>
  </si>
  <si>
    <t>SOT-23-3</t>
  </si>
  <si>
    <t>ACTIVE</t>
  </si>
  <si>
    <t>Uni-Directional</t>
  </si>
  <si>
    <t>SOT-23-3</t>
  </si>
  <si>
    <t>ACTIVE</t>
  </si>
  <si>
    <t>Uni-Directional</t>
  </si>
  <si>
    <t>SOD323</t>
  </si>
  <si>
    <t>ACTIVE</t>
  </si>
  <si>
    <t>Bi-directional</t>
  </si>
  <si>
    <t>SOD323</t>
  </si>
  <si>
    <t>ACTIVE</t>
  </si>
  <si>
    <t>Uni-Directional</t>
  </si>
  <si>
    <t>DFN0603,DFN1006</t>
  </si>
  <si>
    <t>ACTIVE</t>
  </si>
  <si>
    <t>Bi-directional</t>
  </si>
  <si>
    <t>DFN0603,DFN1006</t>
  </si>
  <si>
    <t>ACTIVE</t>
  </si>
  <si>
    <t>Bi-directional</t>
  </si>
  <si>
    <t>SOD323</t>
  </si>
  <si>
    <t>ACTIVE</t>
  </si>
  <si>
    <t>Bi-directional</t>
  </si>
  <si>
    <t>DFN1006</t>
  </si>
  <si>
    <t>ACTIVE</t>
  </si>
  <si>
    <t>Bi-directional</t>
  </si>
  <si>
    <t>SOD323</t>
  </si>
  <si>
    <t>ACTIVE</t>
  </si>
  <si>
    <t>Bi-directional</t>
  </si>
  <si>
    <t>DFN1006</t>
  </si>
  <si>
    <t>ACTIVE</t>
  </si>
  <si>
    <t>Bi-directional</t>
  </si>
  <si>
    <t>SOD523</t>
  </si>
  <si>
    <t>ACTIVE</t>
  </si>
  <si>
    <t>Bi-directional</t>
  </si>
  <si>
    <t>SOT-23-3</t>
  </si>
  <si>
    <t>ACTIVE</t>
  </si>
  <si>
    <t>Bi-directional</t>
  </si>
  <si>
    <t>SOT-23-3</t>
  </si>
  <si>
    <t>ACTIVE</t>
  </si>
  <si>
    <t>Bi-directional</t>
  </si>
  <si>
    <t>SOD523</t>
  </si>
  <si>
    <t>ACTIVE</t>
  </si>
  <si>
    <t>Bi-directional</t>
  </si>
  <si>
    <t>SOT-23-3</t>
  </si>
  <si>
    <t>ACTIVE</t>
  </si>
  <si>
    <t>Bi-directional</t>
  </si>
  <si>
    <t>DFN1110-3</t>
  </si>
  <si>
    <t>ACTIVE</t>
  </si>
  <si>
    <t>Uni-Directional</t>
  </si>
  <si>
    <t>SOT-23-3</t>
  </si>
  <si>
    <t>ACTIVE</t>
  </si>
  <si>
    <t>Bi-directional</t>
  </si>
  <si>
    <t>SC70-3,SOT-23-3</t>
  </si>
  <si>
    <t>ACTIVE</t>
  </si>
  <si>
    <t>Bi-directional</t>
  </si>
  <si>
    <t>DFN1110-3,SC70-3,SOT-23-3</t>
  </si>
  <si>
    <t>ACTIVE</t>
  </si>
  <si>
    <t>Bi-directional</t>
  </si>
  <si>
    <t>DFN0603</t>
  </si>
  <si>
    <t>ACTIVE</t>
  </si>
  <si>
    <t>Bi-directional</t>
  </si>
  <si>
    <t>DFN1006</t>
  </si>
  <si>
    <t>ACTIVE</t>
  </si>
  <si>
    <t>Bi-directional</t>
  </si>
  <si>
    <t>DFN3030</t>
  </si>
  <si>
    <t>ACTIVE</t>
  </si>
  <si>
    <t>Bi-directional</t>
  </si>
  <si>
    <t>DFN3030</t>
  </si>
  <si>
    <t>ACTIVE</t>
  </si>
  <si>
    <t>Bi-directional</t>
  </si>
  <si>
    <t>DFN3030</t>
  </si>
  <si>
    <t>ACTIVE</t>
  </si>
  <si>
    <t>Bi-directional</t>
  </si>
  <si>
    <t>DFN3030</t>
  </si>
  <si>
    <t>ACTIVE</t>
  </si>
  <si>
    <t>Bi-directional</t>
  </si>
  <si>
    <t>DFN3030</t>
  </si>
  <si>
    <t>ACTIVE</t>
  </si>
  <si>
    <t>Bi-directional</t>
  </si>
  <si>
    <t>DFN3030</t>
  </si>
  <si>
    <t>ACTIVE</t>
  </si>
  <si>
    <t>Uni-Directional</t>
  </si>
  <si>
    <t>ACTIVE</t>
  </si>
  <si>
    <t>Uni-Directional</t>
  </si>
  <si>
    <t>ACTIVE</t>
  </si>
  <si>
    <t>Uni-Directional</t>
  </si>
  <si>
    <t>ACTIVE</t>
  </si>
  <si>
    <t>Uni-Directional</t>
  </si>
  <si>
    <t>ACTIVE</t>
  </si>
  <si>
    <t>Uni-Directional</t>
  </si>
  <si>
    <t>DFN1006,SOD523</t>
  </si>
  <si>
    <t>ACTIVE</t>
  </si>
  <si>
    <t>Uni-Directional</t>
  </si>
  <si>
    <t>DFN1006</t>
  </si>
  <si>
    <t>ACTIVE</t>
  </si>
  <si>
    <t>Bi-directional</t>
  </si>
  <si>
    <t>DFN2510</t>
  </si>
  <si>
    <t>ACTIVE</t>
  </si>
  <si>
    <t>Bi-directional</t>
  </si>
  <si>
    <t>ACTIVE</t>
  </si>
  <si>
    <t>Uni-Directional</t>
  </si>
  <si>
    <t>DFN2020</t>
  </si>
  <si>
    <t>ACTIVE</t>
  </si>
  <si>
    <t>Uni-Directional</t>
  </si>
  <si>
    <t>DFN2020</t>
  </si>
  <si>
    <t>ACTIVE</t>
  </si>
  <si>
    <t>Uni-Directional</t>
  </si>
  <si>
    <t>DFN2020</t>
  </si>
  <si>
    <t>ACTIVE</t>
  </si>
  <si>
    <t>Uni-Directional</t>
  </si>
  <si>
    <t>DFN2020</t>
  </si>
  <si>
    <t>ACTIVE</t>
  </si>
  <si>
    <t>Uni-Directional</t>
  </si>
  <si>
    <t>DFN2020</t>
  </si>
  <si>
    <t>ACTIVE</t>
  </si>
  <si>
    <t>Bi-directional</t>
  </si>
  <si>
    <t>DFN2510</t>
  </si>
  <si>
    <t>ACTIVE</t>
  </si>
  <si>
    <t>Bi-directional</t>
  </si>
  <si>
    <t>DFN1006</t>
  </si>
  <si>
    <t>ACTIVE</t>
  </si>
  <si>
    <t>Bi-directional</t>
  </si>
  <si>
    <t>DFN1006</t>
  </si>
  <si>
    <t>ACTIVE</t>
  </si>
  <si>
    <t>Uni-Directional</t>
  </si>
  <si>
    <t>4,6</t>
  </si>
  <si>
    <t>ACTIVE</t>
  </si>
  <si>
    <t>Uni-Directional</t>
  </si>
  <si>
    <t>DFN1006</t>
  </si>
  <si>
    <t>10,23</t>
  </si>
  <si>
    <t>ACTIVE</t>
  </si>
  <si>
    <t>Bi-directional</t>
  </si>
  <si>
    <t>DFN1006,SOD523</t>
  </si>
  <si>
    <t>ACTIVE</t>
  </si>
  <si>
    <t>Bi-directional</t>
  </si>
  <si>
    <t>DFN1006</t>
  </si>
  <si>
    <t>ACTIVE</t>
  </si>
  <si>
    <t>Bi-directional</t>
  </si>
  <si>
    <t>DFN1006</t>
  </si>
  <si>
    <t>ACTIVE</t>
  </si>
  <si>
    <t>Bi-directional</t>
  </si>
  <si>
    <t>DFN0603,DFN1006</t>
  </si>
  <si>
    <t>ACTIVE</t>
  </si>
  <si>
    <t>Bi-directional</t>
  </si>
  <si>
    <t>DFN0603,DFN1006</t>
  </si>
  <si>
    <t>ACTIVE</t>
  </si>
  <si>
    <t>Uni-Directional</t>
  </si>
  <si>
    <t>DFN0603,DFN1006</t>
  </si>
  <si>
    <t>ACTIVE</t>
  </si>
  <si>
    <t>Bi-directional</t>
  </si>
  <si>
    <t>DFN2510</t>
  </si>
  <si>
    <t>ACTIVE</t>
  </si>
  <si>
    <t>Uni-Directional</t>
  </si>
  <si>
    <t>SC70-3,SOT-23</t>
  </si>
  <si>
    <t>ACTIVE</t>
  </si>
  <si>
    <t>Uni-Directional</t>
  </si>
  <si>
    <t>DFN2510</t>
  </si>
  <si>
    <t>ACTIVE</t>
  </si>
  <si>
    <t>Bi-directional</t>
  </si>
  <si>
    <t>DFN0603</t>
  </si>
  <si>
    <t>ACTIVE</t>
  </si>
  <si>
    <t>Uni-Directional</t>
  </si>
  <si>
    <t>DFN0603</t>
  </si>
  <si>
    <t>ACTIVE</t>
  </si>
  <si>
    <t>Bi-directional</t>
  </si>
  <si>
    <t>SOT-5X3</t>
  </si>
  <si>
    <t>ACTIVE</t>
  </si>
  <si>
    <t>Uni-Directional</t>
  </si>
  <si>
    <t>UQFN</t>
  </si>
  <si>
    <t>ACTIVE</t>
  </si>
  <si>
    <t>Uni-Directional</t>
  </si>
  <si>
    <t>SC70-3,SOT-5X3</t>
  </si>
  <si>
    <t>3,5</t>
  </si>
  <si>
    <t>ACTIVE</t>
  </si>
  <si>
    <t>Uni-Directional</t>
  </si>
  <si>
    <t>SOT-23-6</t>
  </si>
  <si>
    <t>ACTIVE</t>
  </si>
  <si>
    <t>Uni-Directional</t>
  </si>
  <si>
    <t>DFN2510</t>
  </si>
  <si>
    <t>ACTIVE</t>
  </si>
  <si>
    <t>Uni-Directional</t>
  </si>
  <si>
    <t>DFN1006,SOD523</t>
  </si>
  <si>
    <t>ACTIVE</t>
  </si>
  <si>
    <t>Bi-directional</t>
  </si>
  <si>
    <t>SC70-6,SOT-5X3</t>
  </si>
  <si>
    <t>ACTIVE</t>
  </si>
  <si>
    <t>Uni-Directional</t>
  </si>
  <si>
    <t>ACTIVE</t>
  </si>
  <si>
    <t>Uni-Directional</t>
  </si>
  <si>
    <t>ACTIVE</t>
  </si>
  <si>
    <t>Bi-directional</t>
  </si>
  <si>
    <t>DFN0603</t>
  </si>
  <si>
    <t>ACTIVE</t>
  </si>
  <si>
    <t>Bi-directional</t>
  </si>
  <si>
    <t>DFN0603</t>
  </si>
  <si>
    <t>ACTIVE</t>
  </si>
  <si>
    <t>Bi-directional</t>
  </si>
  <si>
    <t>DFN1006,SOD523</t>
  </si>
  <si>
    <t>ACTIVE</t>
  </si>
  <si>
    <t>Bi-directional</t>
  </si>
  <si>
    <t>DFN1006</t>
  </si>
  <si>
    <t>ACTIVE</t>
  </si>
  <si>
    <t>Uni-Directional</t>
  </si>
  <si>
    <t>SOT-9X3</t>
  </si>
  <si>
    <t>ACTIVE</t>
  </si>
  <si>
    <t>Uni-Directional</t>
  </si>
  <si>
    <t>USON</t>
  </si>
  <si>
    <t>ACTIVE</t>
  </si>
  <si>
    <t>Uni-Directional</t>
  </si>
  <si>
    <t>SOT-9X3</t>
  </si>
  <si>
    <t>ACTIVE</t>
  </si>
  <si>
    <t>-</t>
  </si>
  <si>
    <t>Uni-Directional</t>
  </si>
  <si>
    <t>SOT-5X3</t>
  </si>
  <si>
    <t>ACTIVE</t>
  </si>
  <si>
    <t>Uni-Directional</t>
  </si>
  <si>
    <t>SOT-23-6</t>
  </si>
  <si>
    <t>ACTIVE</t>
  </si>
  <si>
    <t>Uni-Directional</t>
  </si>
  <si>
    <t>SOT-23-3,SOT-9X3</t>
  </si>
  <si>
    <t>ACTIVE</t>
  </si>
  <si>
    <t>Bi-directional</t>
  </si>
  <si>
    <t>LGA (PicoStar),SC70-3</t>
  </si>
  <si>
    <t>3,4</t>
  </si>
  <si>
    <t>ACTIVE</t>
  </si>
  <si>
    <t>Uni-Directional</t>
  </si>
  <si>
    <t>DFN2510</t>
  </si>
  <si>
    <t>ACTIVE</t>
  </si>
  <si>
    <t>Uni-Directional</t>
  </si>
  <si>
    <t>ACTIVE</t>
  </si>
  <si>
    <t>Uni-Directional</t>
  </si>
  <si>
    <t>WSON</t>
  </si>
  <si>
    <t>ACTIVE</t>
  </si>
  <si>
    <t>Uni-Directional</t>
  </si>
  <si>
    <t>SC70-6,SOT-23-6,USON,VSSOP</t>
  </si>
  <si>
    <t>6,10</t>
  </si>
  <si>
    <t>ACTIVE</t>
  </si>
  <si>
    <t>Uni-Directional</t>
  </si>
  <si>
    <t>4,5,6</t>
  </si>
  <si>
    <t>ACTIVE</t>
  </si>
  <si>
    <t>Uni-Directional</t>
  </si>
  <si>
    <t>5,6</t>
  </si>
  <si>
    <t>ACTIVE</t>
  </si>
  <si>
    <t>Uni-Directional</t>
  </si>
  <si>
    <t>SOT-5X3</t>
  </si>
  <si>
    <t>ACTIVE</t>
  </si>
  <si>
    <t>Uni-Directional</t>
  </si>
  <si>
    <t>ACTIVE</t>
  </si>
  <si>
    <t>Uni-Directional</t>
  </si>
  <si>
    <t>UQFN,WQFN</t>
  </si>
  <si>
    <t>10,12</t>
  </si>
  <si>
    <t>ACTIVE</t>
  </si>
  <si>
    <t>SOT-23-5</t>
  </si>
  <si>
    <t>DFN1616</t>
  </si>
  <si>
    <t>TVS4000</t>
  </si>
  <si>
    <t>SOT-23-4,SOT-5X3,USON,DFN3030</t>
  </si>
  <si>
    <t>SOT-5X3,USON,DFN3030</t>
  </si>
  <si>
    <t>SC70-6,SOT-23-6,SOT-5X3,USON,DFN3030</t>
  </si>
  <si>
    <t>DSBGA,DFN2020</t>
  </si>
  <si>
    <t>SC70-6,SOT-23-6</t>
  </si>
  <si>
    <t>ESD2CANFD54-Q1</t>
  </si>
  <si>
    <t>ESD2CANFD60-Q1</t>
  </si>
  <si>
    <t>ESD2IVN48-Q1</t>
  </si>
  <si>
    <t>SMA6F33A</t>
  </si>
  <si>
    <t>SMAF</t>
  </si>
  <si>
    <t>SMA6F33A-Q1</t>
  </si>
  <si>
    <t>SMA6F28A</t>
  </si>
  <si>
    <t>SMA6F28A-Q1</t>
  </si>
  <si>
    <t>ESD551</t>
  </si>
  <si>
    <t>ESD551-Q1</t>
  </si>
  <si>
    <t>MMBZ15VCL</t>
  </si>
  <si>
    <t>MMBZ15VCL-Q1</t>
  </si>
  <si>
    <t>MMBZ27VCL</t>
  </si>
  <si>
    <t>MMBZ27VCL-Q1</t>
  </si>
  <si>
    <t>ESD2CAN27-Q1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</si>
</sst>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hadow/>
      <sz val="15"/>
      <color rgb="FF000000"/>
      <name val="Arial"/>
      <family val="2"/>
    </font>
    <font>
      <sz val="13"/>
      <color rgb="FF000000"/>
      <name val="Arial"/>
      <family val="2"/>
    </font>
    <font>
      <sz val="11"/>
      <color rgb="FF000000"/>
      <name val="Arial"/>
      <family val="2"/>
    </font>
    <font>
      <u/>
      <sz val="13"/>
      <color rgb="FF007C8C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CC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indent="1"/>
    </xf>
    <xf numFmtId="0" fontId="2" fillId="0" borderId="1" xfId="0" applyFont="1" applyBorder="1" applyAlignment="1">
      <alignment wrapText="1" indent="1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3" fillId="3" borderId="0" xfId="0" applyFont="1" applyFill="1"/>
    <xf numFmtId="0" fontId="1" fillId="2" borderId="1" xfId="0" applyFont="1" applyFill="1" applyBorder="1" applyAlignment="1">
      <alignment horizontal="center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2667000</xdr:colOff>
      <xdr:row>0</xdr:row>
      <xdr:rowOff>342900</xdr:rowOff>
    </xdr:to>
    <xdr:pic>
      <xdr:nvPicPr>
        <xdr:cNvPr id="2" name="logo">
          <a:extLst>
            <a:ext uri="{FF2B5EF4-FFF2-40B4-BE49-F238E27FC236}">
              <a16:creationId xmlns:a16="http://schemas.microsoft.com/office/drawing/2014/main" id="{822E6D20-D7BC-2841-A643-D49A6EF008A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667000" cy="342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237"/>
  <sheetViews>
    <sheetView tabSelected="1" topLeftCell="A5" zoomScale="78" zoomScaleNormal="78" workbookViewId="0">
      <pane ySplit="7" topLeftCell="A12" activePane="bottomLeft" state="frozen"/>
      <selection activeCell="A5" sqref="A5"/>
      <selection pane="bottomLeft" activeCell="B237" sqref="B237"/>
    </sheetView>
  </sheetViews>
  <sheetFormatPr defaultColWidth="10.90625" defaultRowHeight="14.5" x14ac:dyDescent="0.35"/>
  <cols>
    <col min="1" max="15" width="43" customWidth="1"/>
  </cols>
  <sheetData>
    <row r="1" spans="1:16" ht="30" customHeight="1" x14ac:dyDescent="0.35"/>
    <row r="2" spans="1:16" ht="6.65" customHeight="1" x14ac:dyDescent="0.3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20" customHeight="1" x14ac:dyDescent="0.35"/>
    <row r="4" spans="1:16" ht="20" customHeight="1" x14ac:dyDescent="0.35">
      <c r="A4" s="6" t="s">
        <v>1</v>
      </c>
      <c r="B4" s="6"/>
    </row>
    <row r="5" spans="1:16" ht="20" customHeight="1" x14ac:dyDescent="0.35">
      <c r="A5" s="2" t="s">
        <v>2</v>
      </c>
      <c r="B5" s="2" t="s">
        <v>3</v>
      </c>
    </row>
    <row r="6" spans="1:16" ht="20" customHeight="1" x14ac:dyDescent="0.35">
      <c r="A6" s="2" t="s">
        <v>4</v>
      </c>
      <c r="B6" s="2" t="s">
        <v>5</v>
      </c>
    </row>
    <row r="7" spans="1:16" ht="20" customHeight="1" x14ac:dyDescent="0.35">
      <c r="A7" s="2" t="s">
        <v>6</v>
      </c>
      <c r="B7" s="2" t="s">
        <v>7</v>
      </c>
    </row>
    <row r="8" spans="1:16" ht="20" customHeight="1" x14ac:dyDescent="0.35">
      <c r="A8" s="2" t="s">
        <v>8</v>
      </c>
      <c r="B8" s="2" t="s">
        <v>9</v>
      </c>
    </row>
    <row r="9" spans="1:16" ht="20" customHeight="1" x14ac:dyDescent="0.35">
      <c r="A9" s="2" t="s">
        <v>8</v>
      </c>
      <c r="B9" s="2" t="s">
        <v>10</v>
      </c>
    </row>
    <row r="10" spans="1:16" ht="20" customHeight="1" x14ac:dyDescent="0.35"/>
    <row r="11" spans="1:16" ht="30" customHeight="1" x14ac:dyDescent="0.35">
      <c r="A11" s="1" t="s">
        <v>11</v>
      </c>
      <c r="B11" s="1" t="s">
        <v>12</v>
      </c>
      <c r="C11" s="1" t="s">
        <v>13</v>
      </c>
      <c r="D11" s="1" t="s">
        <v>14</v>
      </c>
      <c r="E11" s="1" t="s">
        <v>15</v>
      </c>
      <c r="F11" s="1" t="s">
        <v>16</v>
      </c>
      <c r="G11" s="1" t="s">
        <v>17</v>
      </c>
      <c r="H11" s="1" t="s">
        <v>18</v>
      </c>
      <c r="I11" s="1" t="s">
        <v>19</v>
      </c>
      <c r="J11" s="1" t="s">
        <v>20</v>
      </c>
      <c r="K11" s="1" t="s">
        <v>21</v>
      </c>
      <c r="L11" s="1" t="s">
        <v>22</v>
      </c>
      <c r="M11" s="1" t="s">
        <v>23</v>
      </c>
      <c r="N11" s="1" t="s">
        <v>24</v>
      </c>
      <c r="O11" s="1" t="s">
        <v>25</v>
      </c>
    </row>
    <row r="12" spans="1:16" ht="20" customHeight="1" x14ac:dyDescent="0.35">
      <c r="A12" s="4" t="str">
        <f>HYPERLINK("https://www.ti.com/product/ESD441W-Q1", "ESD441W-Q1")</f>
        <v>ESD441W-Q1</v>
      </c>
      <c r="B12" s="3">
        <v>5.5</v>
      </c>
      <c r="C12" s="4" t="str">
        <f>HYPERLINK("https://www.ti.com/lit/gpn/ESD441W-Q1", "PDF datasheet")</f>
        <v>PDF datasheet</v>
      </c>
      <c r="D12" s="4" t="str">
        <f>HYPERLINK("https://www.ti.com/document-viewer/ESD441W-Q1/datasheet", "HTML datasheet")</f>
        <v>HTML datasheet</v>
      </c>
      <c r="E12" s="3">
        <v>1</v>
      </c>
      <c r="F12" s="3" t="s">
        <v>26</v>
      </c>
      <c r="G12" s="3" t="s">
        <v>27</v>
      </c>
      <c r="H12" s="3">
        <v>45</v>
      </c>
      <c r="I12" s="3">
        <v>1</v>
      </c>
      <c r="J12" s="3">
        <v>30000</v>
      </c>
      <c r="K12" s="3">
        <v>6</v>
      </c>
      <c r="L12" s="3">
        <v>8.1999999999999993</v>
      </c>
      <c r="M12" s="3">
        <v>4.2999999999999997E-2</v>
      </c>
      <c r="N12" s="3">
        <v>2</v>
      </c>
      <c r="O12" s="3" t="s">
        <v>28</v>
      </c>
    </row>
    <row r="13" spans="1:16" ht="20" customHeight="1" x14ac:dyDescent="0.35">
      <c r="A13" s="4" t="s">
        <v>597</v>
      </c>
      <c r="B13" s="3">
        <v>40</v>
      </c>
      <c r="C13" s="4"/>
      <c r="D13" s="4"/>
      <c r="E13" s="3">
        <v>1</v>
      </c>
      <c r="F13" s="3" t="s">
        <v>26</v>
      </c>
      <c r="G13" s="3" t="s">
        <v>596</v>
      </c>
      <c r="H13" s="3">
        <v>1335</v>
      </c>
      <c r="I13" s="3">
        <v>140</v>
      </c>
      <c r="J13" s="3">
        <v>15000</v>
      </c>
      <c r="K13" s="3">
        <v>25</v>
      </c>
      <c r="L13" s="3">
        <v>50.3</v>
      </c>
      <c r="M13" s="3">
        <v>0.19500000000000001</v>
      </c>
      <c r="N13" s="3">
        <v>6</v>
      </c>
      <c r="O13" s="3" t="s">
        <v>28</v>
      </c>
    </row>
    <row r="14" spans="1:16" ht="20" customHeight="1" x14ac:dyDescent="0.35">
      <c r="A14" s="4" t="str">
        <f>HYPERLINK("https://www.ti.com/product/ESD451W-Q1", "ESD451W-Q1")</f>
        <v>ESD451W-Q1</v>
      </c>
      <c r="B14" s="3">
        <v>5.5</v>
      </c>
      <c r="C14" s="4" t="str">
        <f>HYPERLINK("https://www.ti.com/lit/gpn/ESD451W-Q1", "PDF datasheet")</f>
        <v>PDF datasheet</v>
      </c>
      <c r="D14" s="4" t="str">
        <f>HYPERLINK("https://www.ti.com/document-viewer/ESD451W-Q1/datasheet", "HTML datasheet")</f>
        <v>HTML datasheet</v>
      </c>
      <c r="E14" s="3">
        <v>1</v>
      </c>
      <c r="F14" s="3" t="s">
        <v>29</v>
      </c>
      <c r="G14" s="3" t="s">
        <v>30</v>
      </c>
      <c r="H14" s="3">
        <v>57</v>
      </c>
      <c r="I14" s="3">
        <v>0.5</v>
      </c>
      <c r="J14" s="3">
        <v>30000</v>
      </c>
      <c r="K14" s="3">
        <v>6</v>
      </c>
      <c r="L14" s="3">
        <v>11.5</v>
      </c>
      <c r="M14" s="3">
        <v>4.3999999999999997E-2</v>
      </c>
      <c r="N14" s="3">
        <v>2</v>
      </c>
      <c r="O14" s="3" t="s">
        <v>31</v>
      </c>
    </row>
    <row r="15" spans="1:16" ht="20" customHeight="1" x14ac:dyDescent="0.35">
      <c r="A15" s="4" t="str">
        <f>HYPERLINK("https://www.ti.com/product/TVS5200", "TVS5200")</f>
        <v>TVS5200</v>
      </c>
      <c r="B15" s="3">
        <v>52</v>
      </c>
      <c r="C15" s="4" t="str">
        <f>HYPERLINK("https://www.ti.com/lit/gpn/TVS5200", "PDF datasheet")</f>
        <v>PDF datasheet</v>
      </c>
      <c r="D15" s="4" t="str">
        <f>HYPERLINK("https://www.ti.com/document-viewer/TVS5200/datasheet", "HTML datasheet")</f>
        <v>HTML datasheet</v>
      </c>
      <c r="E15" s="3">
        <v>1</v>
      </c>
      <c r="F15" s="3" t="s">
        <v>32</v>
      </c>
      <c r="G15" s="3" t="s">
        <v>596</v>
      </c>
      <c r="H15" s="3">
        <v>1875</v>
      </c>
      <c r="I15" s="3">
        <v>154</v>
      </c>
      <c r="J15" s="3">
        <v>15000</v>
      </c>
      <c r="K15" s="3">
        <v>30</v>
      </c>
      <c r="L15" s="3">
        <v>58.6</v>
      </c>
      <c r="M15" s="3">
        <v>0.19500000000000001</v>
      </c>
      <c r="N15" s="3">
        <v>6</v>
      </c>
      <c r="O15" s="3" t="s">
        <v>33</v>
      </c>
    </row>
    <row r="16" spans="1:16" ht="20" customHeight="1" x14ac:dyDescent="0.35">
      <c r="A16" s="4" t="str">
        <f>HYPERLINK("https://www.ti.com/product/ESD2CAN24W-Q1", "ESD2CAN24W-Q1")</f>
        <v>ESD2CAN24W-Q1</v>
      </c>
      <c r="B16" s="3">
        <v>24</v>
      </c>
      <c r="C16" s="4" t="str">
        <f>HYPERLINK("https://www.ti.com/lit/gpn/ESD2CAN24W-Q1", "PDF datasheet")</f>
        <v>PDF datasheet</v>
      </c>
      <c r="D16" s="4" t="str">
        <f>HYPERLINK("https://www.ti.com/document-viewer/ESD2CAN24W-Q1/datasheet", "HTML datasheet")</f>
        <v>HTML datasheet</v>
      </c>
      <c r="E16" s="3">
        <v>2</v>
      </c>
      <c r="F16" s="3" t="s">
        <v>34</v>
      </c>
      <c r="G16" s="3" t="s">
        <v>35</v>
      </c>
      <c r="H16" s="3">
        <v>210</v>
      </c>
      <c r="I16" s="3">
        <v>3</v>
      </c>
      <c r="J16" s="3">
        <v>30000</v>
      </c>
      <c r="K16" s="3">
        <v>4.7</v>
      </c>
      <c r="L16" s="3">
        <v>37</v>
      </c>
      <c r="M16" s="3">
        <v>0.106</v>
      </c>
      <c r="N16" s="3">
        <v>3</v>
      </c>
      <c r="O16" s="3" t="s">
        <v>36</v>
      </c>
    </row>
    <row r="17" spans="1:15" ht="20" customHeight="1" x14ac:dyDescent="0.35">
      <c r="A17" s="4" t="str">
        <f>HYPERLINK("https://www.ti.com/product/ESD2CAN36W-Q1", "ESD2CAN36W-Q1")</f>
        <v>ESD2CAN36W-Q1</v>
      </c>
      <c r="B17" s="3">
        <v>36</v>
      </c>
      <c r="C17" s="4" t="str">
        <f>HYPERLINK("https://www.ti.com/lit/gpn/ESD2CAN36W-Q1", "PDF datasheet")</f>
        <v>PDF datasheet</v>
      </c>
      <c r="D17" s="4" t="str">
        <f>HYPERLINK("https://www.ti.com/document-viewer/ESD2CAN36W-Q1/datasheet", "HTML datasheet")</f>
        <v>HTML datasheet</v>
      </c>
      <c r="E17" s="3">
        <v>2</v>
      </c>
      <c r="F17" s="3" t="s">
        <v>37</v>
      </c>
      <c r="G17" s="3" t="s">
        <v>38</v>
      </c>
      <c r="H17" s="3">
        <v>233</v>
      </c>
      <c r="I17" s="3">
        <v>3</v>
      </c>
      <c r="J17" s="3">
        <v>20000</v>
      </c>
      <c r="K17" s="3">
        <v>3.8</v>
      </c>
      <c r="L17" s="3">
        <v>66</v>
      </c>
      <c r="M17" s="3">
        <v>8.7999999999999995E-2</v>
      </c>
      <c r="N17" s="3">
        <v>3</v>
      </c>
      <c r="O17" s="3" t="s">
        <v>39</v>
      </c>
    </row>
    <row r="18" spans="1:15" ht="20" customHeight="1" x14ac:dyDescent="0.35">
      <c r="A18" s="4" t="str">
        <f>HYPERLINK("https://www.ti.com/product/ESD2CANFD24W-Q1", "ESD2CANFD24W-Q1")</f>
        <v>ESD2CANFD24W-Q1</v>
      </c>
      <c r="B18" s="3">
        <v>24</v>
      </c>
      <c r="C18" s="4" t="str">
        <f>HYPERLINK("https://www.ti.com/lit/gpn/ESD2CANFD24W-Q1", "PDF datasheet")</f>
        <v>PDF datasheet</v>
      </c>
      <c r="D18" s="4" t="str">
        <f>HYPERLINK("https://www.ti.com/document-viewer/ESD2CANFD24W-Q1/datasheet", "HTML datasheet")</f>
        <v>HTML datasheet</v>
      </c>
      <c r="E18" s="3">
        <v>2</v>
      </c>
      <c r="F18" s="3" t="s">
        <v>40</v>
      </c>
      <c r="G18" s="3" t="s">
        <v>41</v>
      </c>
      <c r="H18" s="3">
        <v>133</v>
      </c>
      <c r="I18" s="3">
        <v>2</v>
      </c>
      <c r="J18" s="3">
        <v>22000</v>
      </c>
      <c r="K18" s="3">
        <v>3.5</v>
      </c>
      <c r="L18" s="3">
        <v>37</v>
      </c>
      <c r="M18" s="3">
        <v>9.4E-2</v>
      </c>
      <c r="N18" s="3">
        <v>3</v>
      </c>
      <c r="O18" s="3" t="s">
        <v>42</v>
      </c>
    </row>
    <row r="19" spans="1:15" ht="20" customHeight="1" x14ac:dyDescent="0.35">
      <c r="A19" s="4" t="str">
        <f>HYPERLINK("https://www.ti.com/product/ESD2CANXL24W-Q1", "ESD2CANXL24W-Q1")</f>
        <v>ESD2CANXL24W-Q1</v>
      </c>
      <c r="B19" s="3">
        <v>24</v>
      </c>
      <c r="C19" s="4" t="str">
        <f>HYPERLINK("https://www.ti.com/lit/gpn/ESD2CANXL24W-Q1", "PDF datasheet")</f>
        <v>PDF datasheet</v>
      </c>
      <c r="D19" s="4" t="str">
        <f>HYPERLINK("https://www.ti.com/document-viewer/ESD2CANXL24W-Q1/datasheet", "HTML datasheet")</f>
        <v>HTML datasheet</v>
      </c>
      <c r="E19" s="3">
        <v>2</v>
      </c>
      <c r="F19" s="3" t="s">
        <v>43</v>
      </c>
      <c r="G19" s="3" t="s">
        <v>44</v>
      </c>
      <c r="H19" s="3">
        <v>90</v>
      </c>
      <c r="I19" s="3">
        <v>1.7</v>
      </c>
      <c r="J19" s="3">
        <v>20000</v>
      </c>
      <c r="K19" s="3">
        <v>2.5</v>
      </c>
      <c r="L19" s="3">
        <v>36</v>
      </c>
      <c r="M19" s="3">
        <v>9.0999999999999998E-2</v>
      </c>
      <c r="N19" s="3">
        <v>3</v>
      </c>
      <c r="O19" s="3" t="s">
        <v>45</v>
      </c>
    </row>
    <row r="20" spans="1:15" ht="20" customHeight="1" x14ac:dyDescent="0.35">
      <c r="A20" s="4" t="str">
        <f>HYPERLINK("https://www.ti.com/product/BZX84C33V-Q1", "BZX84C33V-Q1")</f>
        <v>BZX84C33V-Q1</v>
      </c>
      <c r="B20" s="3"/>
      <c r="C20" s="4" t="str">
        <f>HYPERLINK("https://www.ti.com/lit/gpn/BZX84C33V-Q1", "PDF datasheet")</f>
        <v>PDF datasheet</v>
      </c>
      <c r="D20" s="4" t="str">
        <f>HYPERLINK("https://www.ti.com/document-viewer/BZX84C33V-Q1/datasheet", "HTML datasheet")</f>
        <v>HTML datasheet</v>
      </c>
      <c r="E20" s="3">
        <v>1</v>
      </c>
      <c r="F20" s="3"/>
      <c r="G20" s="3" t="s">
        <v>46</v>
      </c>
      <c r="H20" s="3"/>
      <c r="I20" s="3">
        <v>30</v>
      </c>
      <c r="J20" s="3"/>
      <c r="K20" s="3"/>
      <c r="L20" s="3"/>
      <c r="M20" s="3">
        <v>3.5999999999999997E-2</v>
      </c>
      <c r="N20" s="3">
        <v>3</v>
      </c>
      <c r="O20" s="3" t="s">
        <v>47</v>
      </c>
    </row>
    <row r="21" spans="1:15" ht="20" customHeight="1" x14ac:dyDescent="0.35">
      <c r="A21" s="4" t="str">
        <f>HYPERLINK("https://www.ti.com/product/BZX84WC33V", "BZX84WC33V")</f>
        <v>BZX84WC33V</v>
      </c>
      <c r="B21" s="3"/>
      <c r="C21" s="4" t="str">
        <f>HYPERLINK("https://www.ti.com/lit/gpn/BZX84WC33V", "PDF datasheet")</f>
        <v>PDF datasheet</v>
      </c>
      <c r="D21" s="4" t="str">
        <f>HYPERLINK("https://www.ti.com/document-viewer/BZX84WC33V/datasheet", "HTML datasheet")</f>
        <v>HTML datasheet</v>
      </c>
      <c r="E21" s="3">
        <v>1</v>
      </c>
      <c r="F21" s="3"/>
      <c r="G21" s="3" t="s">
        <v>48</v>
      </c>
      <c r="H21" s="3"/>
      <c r="I21" s="3">
        <v>30</v>
      </c>
      <c r="J21" s="3"/>
      <c r="K21" s="3"/>
      <c r="L21" s="3"/>
      <c r="M21" s="3">
        <v>3.4000000000000002E-2</v>
      </c>
      <c r="N21" s="3">
        <v>3</v>
      </c>
      <c r="O21" s="3" t="s">
        <v>49</v>
      </c>
    </row>
    <row r="22" spans="1:15" ht="20" customHeight="1" x14ac:dyDescent="0.35">
      <c r="A22" s="4" t="str">
        <f>HYPERLINK("https://www.ti.com/product/BZX84WC33V-Q1", "BZX84WC33V-Q1")</f>
        <v>BZX84WC33V-Q1</v>
      </c>
      <c r="B22" s="3"/>
      <c r="C22" s="4" t="str">
        <f>HYPERLINK("https://www.ti.com/lit/gpn/BZX84WC33V-Q1", "PDF datasheet")</f>
        <v>PDF datasheet</v>
      </c>
      <c r="D22" s="4" t="str">
        <f>HYPERLINK("https://www.ti.com/document-viewer/BZX84WC33V-Q1/datasheet", "HTML datasheet")</f>
        <v>HTML datasheet</v>
      </c>
      <c r="E22" s="3">
        <v>1</v>
      </c>
      <c r="F22" s="3"/>
      <c r="G22" s="3" t="s">
        <v>50</v>
      </c>
      <c r="H22" s="3"/>
      <c r="I22" s="3">
        <v>30</v>
      </c>
      <c r="J22" s="3"/>
      <c r="K22" s="3"/>
      <c r="L22" s="3"/>
      <c r="M22" s="3">
        <v>4.1000000000000002E-2</v>
      </c>
      <c r="N22" s="3">
        <v>3</v>
      </c>
      <c r="O22" s="3" t="s">
        <v>51</v>
      </c>
    </row>
    <row r="23" spans="1:15" ht="20" customHeight="1" x14ac:dyDescent="0.35">
      <c r="A23" s="4" t="str">
        <f>HYPERLINK("https://www.ti.com/product/BZX884C33V", "BZX884C33V")</f>
        <v>BZX884C33V</v>
      </c>
      <c r="B23" s="3"/>
      <c r="C23" s="4" t="str">
        <f>HYPERLINK("https://www.ti.com/lit/gpn/BZX884C33V", "PDF datasheet")</f>
        <v>PDF datasheet</v>
      </c>
      <c r="D23" s="4" t="str">
        <f>HYPERLINK("https://www.ti.com/document-viewer/BZX884C33V/datasheet", "HTML datasheet")</f>
        <v>HTML datasheet</v>
      </c>
      <c r="E23" s="3">
        <v>1</v>
      </c>
      <c r="F23" s="3"/>
      <c r="G23" s="3" t="s">
        <v>52</v>
      </c>
      <c r="H23" s="3"/>
      <c r="I23" s="3">
        <v>30</v>
      </c>
      <c r="J23" s="3"/>
      <c r="K23" s="3"/>
      <c r="L23" s="3"/>
      <c r="M23" s="3">
        <v>2.5999999999999999E-2</v>
      </c>
      <c r="N23" s="3">
        <v>2</v>
      </c>
      <c r="O23" s="3" t="s">
        <v>53</v>
      </c>
    </row>
    <row r="24" spans="1:15" ht="20" customHeight="1" x14ac:dyDescent="0.35">
      <c r="A24" s="4" t="str">
        <f>HYPERLINK("https://www.ti.com/product/BZX884C33V-Q1", "BZX884C33V-Q1")</f>
        <v>BZX884C33V-Q1</v>
      </c>
      <c r="B24" s="3"/>
      <c r="C24" s="4" t="str">
        <f>HYPERLINK("https://www.ti.com/lit/gpn/BZX884C33V-Q1", "PDF datasheet")</f>
        <v>PDF datasheet</v>
      </c>
      <c r="D24" s="4" t="str">
        <f>HYPERLINK("https://www.ti.com/document-viewer/BZX884C33V-Q1/datasheet", "HTML datasheet")</f>
        <v>HTML datasheet</v>
      </c>
      <c r="E24" s="3">
        <v>1</v>
      </c>
      <c r="F24" s="3"/>
      <c r="G24" s="3" t="s">
        <v>54</v>
      </c>
      <c r="H24" s="3"/>
      <c r="I24" s="3">
        <v>30</v>
      </c>
      <c r="J24" s="3"/>
      <c r="K24" s="3"/>
      <c r="L24" s="3"/>
      <c r="M24" s="3">
        <v>3.2000000000000001E-2</v>
      </c>
      <c r="N24" s="3">
        <v>2</v>
      </c>
      <c r="O24" s="3" t="s">
        <v>55</v>
      </c>
    </row>
    <row r="25" spans="1:15" ht="20" customHeight="1" x14ac:dyDescent="0.35">
      <c r="A25" s="4" t="str">
        <f>HYPERLINK("https://www.ti.com/product/ESD411", "ESD411")</f>
        <v>ESD411</v>
      </c>
      <c r="B25" s="3">
        <v>5.5</v>
      </c>
      <c r="C25" s="4" t="str">
        <f>HYPERLINK("https://www.ti.com/lit/gpn/ESD411", "PDF datasheet")</f>
        <v>PDF datasheet</v>
      </c>
      <c r="D25" s="4" t="str">
        <f>HYPERLINK("https://www.ti.com/document-viewer/ESD411/datasheet", "HTML datasheet")</f>
        <v>HTML datasheet</v>
      </c>
      <c r="E25" s="3">
        <v>1</v>
      </c>
      <c r="F25" s="3" t="s">
        <v>56</v>
      </c>
      <c r="G25" s="3" t="s">
        <v>57</v>
      </c>
      <c r="H25" s="3">
        <v>13</v>
      </c>
      <c r="I25" s="3">
        <v>0.3</v>
      </c>
      <c r="J25" s="3">
        <v>10000</v>
      </c>
      <c r="K25" s="3">
        <v>1.5</v>
      </c>
      <c r="L25" s="3">
        <v>7.4</v>
      </c>
      <c r="M25" s="3">
        <v>5.1999999999999998E-2</v>
      </c>
      <c r="N25" s="3">
        <v>2</v>
      </c>
      <c r="O25" s="3" t="s">
        <v>58</v>
      </c>
    </row>
    <row r="26" spans="1:15" ht="20" customHeight="1" x14ac:dyDescent="0.35">
      <c r="A26" s="4" t="str">
        <f>HYPERLINK("https://www.ti.com/product/BZX884C18V", "BZX884C18V")</f>
        <v>BZX884C18V</v>
      </c>
      <c r="B26" s="3"/>
      <c r="C26" s="4" t="str">
        <f>HYPERLINK("https://www.ti.com/lit/gpn/BZX884C18V", "PDF datasheet")</f>
        <v>PDF datasheet</v>
      </c>
      <c r="D26" s="4" t="str">
        <f>HYPERLINK("https://www.ti.com/document-viewer/BZX884C18V/datasheet", "HTML datasheet")</f>
        <v>HTML datasheet</v>
      </c>
      <c r="E26" s="3">
        <v>1</v>
      </c>
      <c r="F26" s="3"/>
      <c r="G26" s="3" t="s">
        <v>59</v>
      </c>
      <c r="H26" s="3"/>
      <c r="I26" s="3">
        <v>70</v>
      </c>
      <c r="J26" s="3"/>
      <c r="K26" s="3"/>
      <c r="L26" s="3"/>
      <c r="M26" s="3">
        <v>2.5999999999999999E-2</v>
      </c>
      <c r="N26" s="3">
        <v>2</v>
      </c>
      <c r="O26" s="3" t="s">
        <v>60</v>
      </c>
    </row>
    <row r="27" spans="1:15" ht="20" customHeight="1" x14ac:dyDescent="0.35">
      <c r="A27" s="4" t="str">
        <f>HYPERLINK("https://www.ti.com/product/BZX884C18V-Q1", "BZX884C18V-Q1")</f>
        <v>BZX884C18V-Q1</v>
      </c>
      <c r="B27" s="3"/>
      <c r="C27" s="4" t="str">
        <f>HYPERLINK("https://www.ti.com/lit/gpn/BZX884C18V-Q1", "PDF datasheet")</f>
        <v>PDF datasheet</v>
      </c>
      <c r="D27" s="4" t="str">
        <f>HYPERLINK("https://www.ti.com/document-viewer/BZX884C18V-Q1/datasheet", "HTML datasheet")</f>
        <v>HTML datasheet</v>
      </c>
      <c r="E27" s="3">
        <v>1</v>
      </c>
      <c r="F27" s="3"/>
      <c r="G27" s="3" t="s">
        <v>61</v>
      </c>
      <c r="H27" s="3"/>
      <c r="I27" s="3">
        <v>70</v>
      </c>
      <c r="J27" s="3"/>
      <c r="K27" s="3"/>
      <c r="L27" s="3"/>
      <c r="M27" s="3">
        <v>3.2000000000000001E-2</v>
      </c>
      <c r="N27" s="3">
        <v>2</v>
      </c>
      <c r="O27" s="3" t="s">
        <v>62</v>
      </c>
    </row>
    <row r="28" spans="1:15" ht="20" customHeight="1" x14ac:dyDescent="0.35">
      <c r="A28" s="4" t="str">
        <f>HYPERLINK("https://www.ti.com/product/BZX884C16V", "BZX884C16V")</f>
        <v>BZX884C16V</v>
      </c>
      <c r="B28" s="3"/>
      <c r="C28" s="4" t="str">
        <f>HYPERLINK("https://www.ti.com/lit/gpn/BZX884C16V", "PDF datasheet")</f>
        <v>PDF datasheet</v>
      </c>
      <c r="D28" s="4" t="str">
        <f>HYPERLINK("https://www.ti.com/document-viewer/BZX884C16V/datasheet", "HTML datasheet")</f>
        <v>HTML datasheet</v>
      </c>
      <c r="E28" s="3">
        <v>1</v>
      </c>
      <c r="F28" s="3"/>
      <c r="G28" s="3" t="s">
        <v>63</v>
      </c>
      <c r="H28" s="3"/>
      <c r="I28" s="3">
        <v>75</v>
      </c>
      <c r="J28" s="3"/>
      <c r="K28" s="3"/>
      <c r="L28" s="3"/>
      <c r="M28" s="3">
        <v>2.5999999999999999E-2</v>
      </c>
      <c r="N28" s="3">
        <v>2</v>
      </c>
      <c r="O28" s="3" t="s">
        <v>64</v>
      </c>
    </row>
    <row r="29" spans="1:15" ht="20" customHeight="1" x14ac:dyDescent="0.35">
      <c r="A29" s="4" t="str">
        <f>HYPERLINK("https://www.ti.com/product/BZX884C16V-Q1", "BZX884C16V-Q1")</f>
        <v>BZX884C16V-Q1</v>
      </c>
      <c r="B29" s="3"/>
      <c r="C29" s="4" t="str">
        <f>HYPERLINK("https://www.ti.com/lit/gpn/BZX884C16V-Q1", "PDF datasheet")</f>
        <v>PDF datasheet</v>
      </c>
      <c r="D29" s="4" t="str">
        <f>HYPERLINK("https://www.ti.com/document-viewer/BZX884C16V-Q1/datasheet", "HTML datasheet")</f>
        <v>HTML datasheet</v>
      </c>
      <c r="E29" s="3">
        <v>1</v>
      </c>
      <c r="F29" s="3"/>
      <c r="G29" s="3" t="s">
        <v>65</v>
      </c>
      <c r="H29" s="3"/>
      <c r="I29" s="3">
        <v>75</v>
      </c>
      <c r="J29" s="3"/>
      <c r="K29" s="3"/>
      <c r="L29" s="3"/>
      <c r="M29" s="3">
        <v>3.2000000000000001E-2</v>
      </c>
      <c r="N29" s="3">
        <v>2</v>
      </c>
      <c r="O29" s="3" t="s">
        <v>66</v>
      </c>
    </row>
    <row r="30" spans="1:15" ht="20" customHeight="1" x14ac:dyDescent="0.35">
      <c r="A30" s="4" t="str">
        <f>HYPERLINK("https://www.ti.com/product/ESD772", "ESD772")</f>
        <v>ESD772</v>
      </c>
      <c r="B30" s="3">
        <v>24</v>
      </c>
      <c r="C30" s="4" t="str">
        <f>HYPERLINK("https://www.ti.com/lit/gpn/ESD772", "PDF datasheet")</f>
        <v>PDF datasheet</v>
      </c>
      <c r="D30" s="4" t="str">
        <f>HYPERLINK("https://www.ti.com/document-viewer/ESD772/datasheet", "HTML datasheet")</f>
        <v>HTML datasheet</v>
      </c>
      <c r="E30" s="3">
        <v>2</v>
      </c>
      <c r="F30" s="3" t="s">
        <v>67</v>
      </c>
      <c r="G30" s="3" t="s">
        <v>68</v>
      </c>
      <c r="H30" s="3">
        <v>133</v>
      </c>
      <c r="I30" s="3">
        <v>2</v>
      </c>
      <c r="J30" s="3">
        <v>23000</v>
      </c>
      <c r="K30" s="3">
        <v>3</v>
      </c>
      <c r="L30" s="3">
        <v>42</v>
      </c>
      <c r="M30" s="3">
        <v>7.5999999999999998E-2</v>
      </c>
      <c r="N30" s="3">
        <v>3</v>
      </c>
      <c r="O30" s="3" t="s">
        <v>69</v>
      </c>
    </row>
    <row r="31" spans="1:15" ht="20" customHeight="1" x14ac:dyDescent="0.35">
      <c r="A31" s="4" t="str">
        <f>HYPERLINK("https://www.ti.com/product/BZX884C27V", "BZX884C27V")</f>
        <v>BZX884C27V</v>
      </c>
      <c r="B31" s="3"/>
      <c r="C31" s="4" t="str">
        <f>HYPERLINK("https://www.ti.com/lit/gpn/BZX884C27V", "PDF datasheet")</f>
        <v>PDF datasheet</v>
      </c>
      <c r="D31" s="4" t="str">
        <f>HYPERLINK("https://www.ti.com/document-viewer/BZX884C27V/datasheet", "HTML datasheet")</f>
        <v>HTML datasheet</v>
      </c>
      <c r="E31" s="3">
        <v>1</v>
      </c>
      <c r="F31" s="3"/>
      <c r="G31" s="3" t="s">
        <v>70</v>
      </c>
      <c r="H31" s="3"/>
      <c r="I31" s="3">
        <v>35</v>
      </c>
      <c r="J31" s="3"/>
      <c r="K31" s="3"/>
      <c r="L31" s="3"/>
      <c r="M31" s="3">
        <v>2.5999999999999999E-2</v>
      </c>
      <c r="N31" s="3">
        <v>2</v>
      </c>
      <c r="O31" s="3" t="s">
        <v>71</v>
      </c>
    </row>
    <row r="32" spans="1:15" ht="20" customHeight="1" x14ac:dyDescent="0.35">
      <c r="A32" s="4" t="str">
        <f>HYPERLINK("https://www.ti.com/product/BZX884C27V-Q1", "BZX884C27V-Q1")</f>
        <v>BZX884C27V-Q1</v>
      </c>
      <c r="B32" s="3"/>
      <c r="C32" s="4" t="str">
        <f>HYPERLINK("https://www.ti.com/lit/gpn/BZX884C27V-Q1", "PDF datasheet")</f>
        <v>PDF datasheet</v>
      </c>
      <c r="D32" s="4" t="str">
        <f>HYPERLINK("https://www.ti.com/document-viewer/BZX884C27V-Q1/datasheet", "HTML datasheet")</f>
        <v>HTML datasheet</v>
      </c>
      <c r="E32" s="3">
        <v>1</v>
      </c>
      <c r="F32" s="3"/>
      <c r="G32" s="3" t="s">
        <v>72</v>
      </c>
      <c r="H32" s="3"/>
      <c r="I32" s="3">
        <v>35</v>
      </c>
      <c r="J32" s="3"/>
      <c r="K32" s="3"/>
      <c r="L32" s="3"/>
      <c r="M32" s="3">
        <v>3.2000000000000001E-2</v>
      </c>
      <c r="N32" s="3">
        <v>2</v>
      </c>
      <c r="O32" s="3" t="s">
        <v>73</v>
      </c>
    </row>
    <row r="33" spans="1:15" ht="20" customHeight="1" x14ac:dyDescent="0.35">
      <c r="A33" s="4" t="str">
        <f>HYPERLINK("https://www.ti.com/product/BZX884C39V", "BZX884C39V")</f>
        <v>BZX884C39V</v>
      </c>
      <c r="B33" s="3"/>
      <c r="C33" s="4" t="str">
        <f>HYPERLINK("https://www.ti.com/lit/gpn/BZX884C39V", "PDF datasheet")</f>
        <v>PDF datasheet</v>
      </c>
      <c r="D33" s="4" t="str">
        <f>HYPERLINK("https://www.ti.com/document-viewer/BZX884C39V/datasheet", "HTML datasheet")</f>
        <v>HTML datasheet</v>
      </c>
      <c r="E33" s="3">
        <v>1</v>
      </c>
      <c r="F33" s="3"/>
      <c r="G33" s="3" t="s">
        <v>74</v>
      </c>
      <c r="H33" s="3"/>
      <c r="I33" s="3">
        <v>25</v>
      </c>
      <c r="J33" s="3"/>
      <c r="K33" s="3"/>
      <c r="L33" s="3"/>
      <c r="M33" s="3">
        <v>2.5999999999999999E-2</v>
      </c>
      <c r="N33" s="3">
        <v>2</v>
      </c>
      <c r="O33" s="3" t="s">
        <v>75</v>
      </c>
    </row>
    <row r="34" spans="1:15" ht="20" customHeight="1" x14ac:dyDescent="0.35">
      <c r="A34" s="4" t="str">
        <f>HYPERLINK("https://www.ti.com/product/BZX884C39V-Q1", "BZX884C39V-Q1")</f>
        <v>BZX884C39V-Q1</v>
      </c>
      <c r="B34" s="3"/>
      <c r="C34" s="4" t="str">
        <f>HYPERLINK("https://www.ti.com/lit/gpn/BZX884C39V-Q1", "PDF datasheet")</f>
        <v>PDF datasheet</v>
      </c>
      <c r="D34" s="4" t="str">
        <f>HYPERLINK("https://www.ti.com/document-viewer/BZX884C39V-Q1/datasheet", "HTML datasheet")</f>
        <v>HTML datasheet</v>
      </c>
      <c r="E34" s="3"/>
      <c r="F34" s="3"/>
      <c r="G34" s="3" t="s">
        <v>76</v>
      </c>
      <c r="H34" s="3"/>
      <c r="I34" s="3">
        <v>25</v>
      </c>
      <c r="J34" s="3"/>
      <c r="K34" s="3"/>
      <c r="L34" s="3"/>
      <c r="M34" s="3">
        <v>3.2000000000000001E-2</v>
      </c>
      <c r="N34" s="3">
        <v>2</v>
      </c>
      <c r="O34" s="3" t="s">
        <v>77</v>
      </c>
    </row>
    <row r="35" spans="1:15" ht="20" customHeight="1" x14ac:dyDescent="0.35">
      <c r="A35" s="4" t="str">
        <f>HYPERLINK("https://www.ti.com/product/TVS5800", "TVS5800")</f>
        <v>TVS5800</v>
      </c>
      <c r="B35" s="3">
        <v>58</v>
      </c>
      <c r="C35" s="4" t="str">
        <f>HYPERLINK("https://www.ti.com/lit/gpn/TVS5800", "PDF datasheet")</f>
        <v>PDF datasheet</v>
      </c>
      <c r="D35" s="4" t="str">
        <f>HYPERLINK("https://www.ti.com/document-viewer/TVS5800/datasheet", "HTML datasheet")</f>
        <v>HTML datasheet</v>
      </c>
      <c r="E35" s="3">
        <v>1</v>
      </c>
      <c r="F35" s="3" t="s">
        <v>78</v>
      </c>
      <c r="G35" s="3" t="s">
        <v>596</v>
      </c>
      <c r="H35" s="3">
        <v>1180</v>
      </c>
      <c r="I35" s="3">
        <v>150</v>
      </c>
      <c r="J35" s="3">
        <v>15000</v>
      </c>
      <c r="K35" s="3">
        <v>25</v>
      </c>
      <c r="L35" s="3">
        <v>75</v>
      </c>
      <c r="M35" s="3">
        <v>0.19500000000000001</v>
      </c>
      <c r="N35" s="3">
        <v>6</v>
      </c>
      <c r="O35" s="3" t="s">
        <v>79</v>
      </c>
    </row>
    <row r="36" spans="1:15" ht="20" customHeight="1" x14ac:dyDescent="0.35">
      <c r="A36" s="4" t="str">
        <f>HYPERLINK("https://www.ti.com/product/BZX884C15V", "BZX884C15V")</f>
        <v>BZX884C15V</v>
      </c>
      <c r="B36" s="3"/>
      <c r="C36" s="4" t="str">
        <f>HYPERLINK("https://www.ti.com/lit/gpn/BZX884C15V", "PDF datasheet")</f>
        <v>PDF datasheet</v>
      </c>
      <c r="D36" s="4" t="str">
        <f>HYPERLINK("https://www.ti.com/document-viewer/BZX884C15V/datasheet", "HTML datasheet")</f>
        <v>HTML datasheet</v>
      </c>
      <c r="E36" s="3">
        <v>1</v>
      </c>
      <c r="F36" s="3"/>
      <c r="G36" s="3" t="s">
        <v>80</v>
      </c>
      <c r="H36" s="3"/>
      <c r="I36" s="3">
        <v>68</v>
      </c>
      <c r="J36" s="3"/>
      <c r="K36" s="3"/>
      <c r="L36" s="3"/>
      <c r="M36" s="3">
        <v>2.5999999999999999E-2</v>
      </c>
      <c r="N36" s="3">
        <v>2</v>
      </c>
      <c r="O36" s="3" t="s">
        <v>81</v>
      </c>
    </row>
    <row r="37" spans="1:15" ht="20" customHeight="1" x14ac:dyDescent="0.35">
      <c r="A37" s="4" t="str">
        <f>HYPERLINK("https://www.ti.com/product/BZX884C15V-Q1", "BZX884C15V-Q1")</f>
        <v>BZX884C15V-Q1</v>
      </c>
      <c r="B37" s="3"/>
      <c r="C37" s="4" t="str">
        <f>HYPERLINK("https://www.ti.com/lit/gpn/BZX884C15V-Q1", "PDF datasheet")</f>
        <v>PDF datasheet</v>
      </c>
      <c r="D37" s="4" t="str">
        <f>HYPERLINK("https://www.ti.com/document-viewer/BZX884C15V-Q1/datasheet", "HTML datasheet")</f>
        <v>HTML datasheet</v>
      </c>
      <c r="E37" s="3">
        <v>1</v>
      </c>
      <c r="F37" s="3"/>
      <c r="G37" s="3" t="s">
        <v>82</v>
      </c>
      <c r="H37" s="3"/>
      <c r="I37" s="3">
        <v>68</v>
      </c>
      <c r="J37" s="3"/>
      <c r="K37" s="3"/>
      <c r="L37" s="3"/>
      <c r="M37" s="3">
        <v>3.2000000000000001E-2</v>
      </c>
      <c r="N37" s="3">
        <v>2</v>
      </c>
      <c r="O37" s="3" t="s">
        <v>83</v>
      </c>
    </row>
    <row r="38" spans="1:15" ht="20" customHeight="1" x14ac:dyDescent="0.35">
      <c r="A38" s="4" t="str">
        <f>HYPERLINK("https://www.ti.com/product/BZX84C33V", "BZX84C33V")</f>
        <v>BZX84C33V</v>
      </c>
      <c r="B38" s="3"/>
      <c r="C38" s="4" t="str">
        <f>HYPERLINK("https://www.ti.com/lit/gpn/BZX84C33V", "PDF datasheet")</f>
        <v>PDF datasheet</v>
      </c>
      <c r="D38" s="4" t="str">
        <f>HYPERLINK("https://www.ti.com/document-viewer/BZX84C33V/datasheet", "HTML datasheet")</f>
        <v>HTML datasheet</v>
      </c>
      <c r="E38" s="3">
        <v>1</v>
      </c>
      <c r="F38" s="3"/>
      <c r="G38" s="3" t="s">
        <v>84</v>
      </c>
      <c r="H38" s="3"/>
      <c r="I38" s="3">
        <v>30</v>
      </c>
      <c r="J38" s="3"/>
      <c r="K38" s="3"/>
      <c r="L38" s="3"/>
      <c r="M38" s="3">
        <v>0.03</v>
      </c>
      <c r="N38" s="3">
        <v>3</v>
      </c>
      <c r="O38" s="3" t="s">
        <v>85</v>
      </c>
    </row>
    <row r="39" spans="1:15" ht="20" customHeight="1" x14ac:dyDescent="0.35">
      <c r="A39" s="4" t="str">
        <f>HYPERLINK("https://www.ti.com/product/BZX884C5V6", "BZX884C5V6")</f>
        <v>BZX884C5V6</v>
      </c>
      <c r="B39" s="3"/>
      <c r="C39" s="4" t="str">
        <f>HYPERLINK("https://www.ti.com/lit/gpn/BZX884C5V6", "PDF datasheet")</f>
        <v>PDF datasheet</v>
      </c>
      <c r="D39" s="4" t="str">
        <f>HYPERLINK("https://www.ti.com/document-viewer/BZX884C5V6/datasheet", "HTML datasheet")</f>
        <v>HTML datasheet</v>
      </c>
      <c r="E39" s="3">
        <v>1</v>
      </c>
      <c r="F39" s="3"/>
      <c r="G39" s="3" t="s">
        <v>86</v>
      </c>
      <c r="H39" s="3"/>
      <c r="I39" s="3">
        <v>300</v>
      </c>
      <c r="J39" s="3"/>
      <c r="K39" s="3"/>
      <c r="L39" s="3"/>
      <c r="M39" s="3">
        <v>2.5999999999999999E-2</v>
      </c>
      <c r="N39" s="3">
        <v>2</v>
      </c>
      <c r="O39" s="3" t="s">
        <v>87</v>
      </c>
    </row>
    <row r="40" spans="1:15" ht="20" customHeight="1" x14ac:dyDescent="0.35">
      <c r="A40" s="4" t="str">
        <f>HYPERLINK("https://www.ti.com/product/BZX884C5V6-Q1", "BZX884C5V6-Q1")</f>
        <v>BZX884C5V6-Q1</v>
      </c>
      <c r="B40" s="3"/>
      <c r="C40" s="4" t="str">
        <f>HYPERLINK("https://www.ti.com/lit/gpn/BZX884C5V6-Q1", "PDF datasheet")</f>
        <v>PDF datasheet</v>
      </c>
      <c r="D40" s="4" t="str">
        <f>HYPERLINK("https://www.ti.com/document-viewer/BZX884C5V6-Q1/datasheet", "HTML datasheet")</f>
        <v>HTML datasheet</v>
      </c>
      <c r="E40" s="3">
        <v>1</v>
      </c>
      <c r="F40" s="3"/>
      <c r="G40" s="3" t="s">
        <v>88</v>
      </c>
      <c r="H40" s="3"/>
      <c r="I40" s="3">
        <v>300</v>
      </c>
      <c r="J40" s="3"/>
      <c r="K40" s="3"/>
      <c r="L40" s="3"/>
      <c r="M40" s="3">
        <v>3.2000000000000001E-2</v>
      </c>
      <c r="N40" s="3">
        <v>2</v>
      </c>
      <c r="O40" s="3" t="s">
        <v>89</v>
      </c>
    </row>
    <row r="41" spans="1:15" ht="20" customHeight="1" x14ac:dyDescent="0.35">
      <c r="A41" s="4" t="str">
        <f>HYPERLINK("https://www.ti.com/product/BZX884C6V8", "BZX884C6V8")</f>
        <v>BZX884C6V8</v>
      </c>
      <c r="B41" s="3"/>
      <c r="C41" s="4" t="str">
        <f>HYPERLINK("https://www.ti.com/lit/gpn/BZX884C6V8", "PDF datasheet")</f>
        <v>PDF datasheet</v>
      </c>
      <c r="D41" s="4" t="str">
        <f>HYPERLINK("https://www.ti.com/document-viewer/BZX884C6V8/datasheet", "HTML datasheet")</f>
        <v>HTML datasheet</v>
      </c>
      <c r="E41" s="3">
        <v>1</v>
      </c>
      <c r="F41" s="3"/>
      <c r="G41" s="3" t="s">
        <v>90</v>
      </c>
      <c r="H41" s="3"/>
      <c r="I41" s="3">
        <v>200</v>
      </c>
      <c r="J41" s="3"/>
      <c r="K41" s="3"/>
      <c r="L41" s="3"/>
      <c r="M41" s="3">
        <v>2.5999999999999999E-2</v>
      </c>
      <c r="N41" s="3">
        <v>2</v>
      </c>
      <c r="O41" s="3" t="s">
        <v>91</v>
      </c>
    </row>
    <row r="42" spans="1:15" ht="20" customHeight="1" x14ac:dyDescent="0.35">
      <c r="A42" s="4" t="str">
        <f>HYPERLINK("https://www.ti.com/product/BZX884C6V8-Q1", "BZX884C6V8-Q1")</f>
        <v>BZX884C6V8-Q1</v>
      </c>
      <c r="B42" s="3"/>
      <c r="C42" s="4" t="str">
        <f>HYPERLINK("https://www.ti.com/lit/gpn/BZX884C6V8-Q1", "PDF datasheet")</f>
        <v>PDF datasheet</v>
      </c>
      <c r="D42" s="4" t="str">
        <f>HYPERLINK("https://www.ti.com/document-viewer/BZX884C6V8-Q1/datasheet", "HTML datasheet")</f>
        <v>HTML datasheet</v>
      </c>
      <c r="E42" s="3">
        <v>1</v>
      </c>
      <c r="F42" s="3"/>
      <c r="G42" s="3" t="s">
        <v>92</v>
      </c>
      <c r="H42" s="3"/>
      <c r="I42" s="3">
        <v>200</v>
      </c>
      <c r="J42" s="3"/>
      <c r="K42" s="3"/>
      <c r="L42" s="3"/>
      <c r="M42" s="3">
        <v>3.2000000000000001E-2</v>
      </c>
      <c r="N42" s="3">
        <v>2</v>
      </c>
      <c r="O42" s="3" t="s">
        <v>93</v>
      </c>
    </row>
    <row r="43" spans="1:15" ht="20" customHeight="1" x14ac:dyDescent="0.35">
      <c r="A43" s="4" t="str">
        <f>HYPERLINK("https://www.ti.com/product/BZX884C8V2", "BZX884C8V2")</f>
        <v>BZX884C8V2</v>
      </c>
      <c r="B43" s="3"/>
      <c r="C43" s="4" t="str">
        <f>HYPERLINK("https://www.ti.com/lit/gpn/BZX884C8V2", "PDF datasheet")</f>
        <v>PDF datasheet</v>
      </c>
      <c r="D43" s="4" t="str">
        <f>HYPERLINK("https://www.ti.com/document-viewer/BZX884C8V2/datasheet", "HTML datasheet")</f>
        <v>HTML datasheet</v>
      </c>
      <c r="E43" s="3">
        <v>1</v>
      </c>
      <c r="F43" s="3"/>
      <c r="G43" s="3" t="s">
        <v>94</v>
      </c>
      <c r="H43" s="3"/>
      <c r="I43" s="3">
        <v>80</v>
      </c>
      <c r="J43" s="3"/>
      <c r="K43" s="3"/>
      <c r="L43" s="3"/>
      <c r="M43" s="3">
        <v>2.5999999999999999E-2</v>
      </c>
      <c r="N43" s="3">
        <v>2</v>
      </c>
      <c r="O43" s="3" t="s">
        <v>95</v>
      </c>
    </row>
    <row r="44" spans="1:15" ht="20" customHeight="1" x14ac:dyDescent="0.35">
      <c r="A44" s="4" t="str">
        <f>HYPERLINK("https://www.ti.com/product/BZX884C8V2-Q1", "BZX884C8V2-Q1")</f>
        <v>BZX884C8V2-Q1</v>
      </c>
      <c r="B44" s="3"/>
      <c r="C44" s="4" t="str">
        <f>HYPERLINK("https://www.ti.com/lit/gpn/BZX884C8V2-Q1", "PDF datasheet")</f>
        <v>PDF datasheet</v>
      </c>
      <c r="D44" s="4" t="str">
        <f>HYPERLINK("https://www.ti.com/document-viewer/BZX884C8V2-Q1/datasheet", "HTML datasheet")</f>
        <v>HTML datasheet</v>
      </c>
      <c r="E44" s="3">
        <v>1</v>
      </c>
      <c r="F44" s="3"/>
      <c r="G44" s="3" t="s">
        <v>96</v>
      </c>
      <c r="H44" s="3"/>
      <c r="I44" s="3">
        <v>80</v>
      </c>
      <c r="J44" s="3"/>
      <c r="K44" s="3"/>
      <c r="L44" s="3"/>
      <c r="M44" s="3">
        <v>3.2000000000000001E-2</v>
      </c>
      <c r="N44" s="3">
        <v>2</v>
      </c>
      <c r="O44" s="3" t="s">
        <v>97</v>
      </c>
    </row>
    <row r="45" spans="1:15" ht="20" customHeight="1" x14ac:dyDescent="0.35">
      <c r="A45" s="4" t="str">
        <f>HYPERLINK("https://www.ti.com/product/BZX884C9V1", "BZX884C9V1")</f>
        <v>BZX884C9V1</v>
      </c>
      <c r="B45" s="3"/>
      <c r="C45" s="4" t="str">
        <f>HYPERLINK("https://www.ti.com/lit/gpn/BZX884C9V1", "PDF datasheet")</f>
        <v>PDF datasheet</v>
      </c>
      <c r="D45" s="4" t="str">
        <f>HYPERLINK("https://www.ti.com/document-viewer/BZX884C9V1/datasheet", "HTML datasheet")</f>
        <v>HTML datasheet</v>
      </c>
      <c r="E45" s="3">
        <v>1</v>
      </c>
      <c r="F45" s="3"/>
      <c r="G45" s="3" t="s">
        <v>98</v>
      </c>
      <c r="H45" s="3"/>
      <c r="I45" s="3">
        <v>150</v>
      </c>
      <c r="J45" s="3"/>
      <c r="K45" s="3"/>
      <c r="L45" s="3"/>
      <c r="M45" s="3">
        <v>2.5999999999999999E-2</v>
      </c>
      <c r="N45" s="3">
        <v>2</v>
      </c>
      <c r="O45" s="3" t="s">
        <v>99</v>
      </c>
    </row>
    <row r="46" spans="1:15" ht="20" customHeight="1" x14ac:dyDescent="0.35">
      <c r="A46" s="4" t="str">
        <f>HYPERLINK("https://www.ti.com/product/BZX884C9V1-Q1", "BZX884C9V1-Q1")</f>
        <v>BZX884C9V1-Q1</v>
      </c>
      <c r="B46" s="3"/>
      <c r="C46" s="4" t="str">
        <f>HYPERLINK("https://www.ti.com/lit/gpn/BZX884C9V1-Q1", "PDF datasheet")</f>
        <v>PDF datasheet</v>
      </c>
      <c r="D46" s="4" t="str">
        <f>HYPERLINK("https://www.ti.com/document-viewer/BZX884C9V1-Q1/datasheet", "HTML datasheet")</f>
        <v>HTML datasheet</v>
      </c>
      <c r="E46" s="3">
        <v>1</v>
      </c>
      <c r="F46" s="3"/>
      <c r="G46" s="3" t="s">
        <v>100</v>
      </c>
      <c r="H46" s="3"/>
      <c r="I46" s="3">
        <v>150</v>
      </c>
      <c r="J46" s="3"/>
      <c r="K46" s="3"/>
      <c r="L46" s="3"/>
      <c r="M46" s="3">
        <v>3.2000000000000001E-2</v>
      </c>
      <c r="N46" s="3">
        <v>2</v>
      </c>
      <c r="O46" s="3" t="s">
        <v>101</v>
      </c>
    </row>
    <row r="47" spans="1:15" ht="20" customHeight="1" x14ac:dyDescent="0.35">
      <c r="A47" s="4" t="str">
        <f>HYPERLINK("https://www.ti.com/product/BZX84C16V", "BZX84C16V")</f>
        <v>BZX84C16V</v>
      </c>
      <c r="B47" s="3"/>
      <c r="C47" s="4" t="str">
        <f>HYPERLINK("https://www.ti.com/lit/gpn/BZX84C16V", "PDF datasheet")</f>
        <v>PDF datasheet</v>
      </c>
      <c r="D47" s="4" t="str">
        <f>HYPERLINK("https://www.ti.com/document-viewer/BZX84C16V/datasheet", "HTML datasheet")</f>
        <v>HTML datasheet</v>
      </c>
      <c r="E47" s="3">
        <v>1</v>
      </c>
      <c r="F47" s="3"/>
      <c r="G47" s="3" t="s">
        <v>102</v>
      </c>
      <c r="H47" s="3"/>
      <c r="I47" s="3">
        <v>75</v>
      </c>
      <c r="J47" s="3"/>
      <c r="K47" s="3"/>
      <c r="L47" s="3"/>
      <c r="M47" s="3">
        <v>0.03</v>
      </c>
      <c r="N47" s="3">
        <v>3</v>
      </c>
      <c r="O47" s="3" t="s">
        <v>103</v>
      </c>
    </row>
    <row r="48" spans="1:15" ht="20" customHeight="1" x14ac:dyDescent="0.35">
      <c r="A48" s="4" t="str">
        <f>HYPERLINK("https://www.ti.com/product/BZX84C16V-Q1", "BZX84C16V-Q1")</f>
        <v>BZX84C16V-Q1</v>
      </c>
      <c r="B48" s="3"/>
      <c r="C48" s="4" t="str">
        <f>HYPERLINK("https://www.ti.com/lit/gpn/BZX84C16V-Q1", "PDF datasheet")</f>
        <v>PDF datasheet</v>
      </c>
      <c r="D48" s="4" t="str">
        <f>HYPERLINK("https://www.ti.com/document-viewer/BZX84C16V-Q1/datasheet", "HTML datasheet")</f>
        <v>HTML datasheet</v>
      </c>
      <c r="E48" s="3">
        <v>1</v>
      </c>
      <c r="F48" s="3"/>
      <c r="G48" s="3" t="s">
        <v>104</v>
      </c>
      <c r="H48" s="3"/>
      <c r="I48" s="3">
        <v>75</v>
      </c>
      <c r="J48" s="3"/>
      <c r="K48" s="3"/>
      <c r="L48" s="3"/>
      <c r="M48" s="3">
        <v>3.5999999999999997E-2</v>
      </c>
      <c r="N48" s="3">
        <v>3</v>
      </c>
      <c r="O48" s="3" t="s">
        <v>105</v>
      </c>
    </row>
    <row r="49" spans="1:15" ht="20" customHeight="1" x14ac:dyDescent="0.35">
      <c r="A49" s="4" t="str">
        <f>HYPERLINK("https://www.ti.com/product/BZX84C18V", "BZX84C18V")</f>
        <v>BZX84C18V</v>
      </c>
      <c r="B49" s="3"/>
      <c r="C49" s="4" t="str">
        <f>HYPERLINK("https://www.ti.com/lit/gpn/BZX84C18V", "PDF datasheet")</f>
        <v>PDF datasheet</v>
      </c>
      <c r="D49" s="4" t="str">
        <f>HYPERLINK("https://www.ti.com/document-viewer/BZX84C18V/datasheet", "HTML datasheet")</f>
        <v>HTML datasheet</v>
      </c>
      <c r="E49" s="3">
        <v>1</v>
      </c>
      <c r="F49" s="3"/>
      <c r="G49" s="3" t="s">
        <v>106</v>
      </c>
      <c r="H49" s="3"/>
      <c r="I49" s="3">
        <v>70</v>
      </c>
      <c r="J49" s="3"/>
      <c r="K49" s="3"/>
      <c r="L49" s="3"/>
      <c r="M49" s="3">
        <v>0.03</v>
      </c>
      <c r="N49" s="3">
        <v>3</v>
      </c>
      <c r="O49" s="3" t="s">
        <v>107</v>
      </c>
    </row>
    <row r="50" spans="1:15" ht="20" customHeight="1" x14ac:dyDescent="0.35">
      <c r="A50" s="4" t="str">
        <f>HYPERLINK("https://www.ti.com/product/BZX84C18V-Q1", "BZX84C18V-Q1")</f>
        <v>BZX84C18V-Q1</v>
      </c>
      <c r="B50" s="3"/>
      <c r="C50" s="4" t="str">
        <f>HYPERLINK("https://www.ti.com/lit/gpn/BZX84C18V-Q1", "PDF datasheet")</f>
        <v>PDF datasheet</v>
      </c>
      <c r="D50" s="4" t="str">
        <f>HYPERLINK("https://www.ti.com/document-viewer/BZX84C18V-Q1/datasheet", "HTML datasheet")</f>
        <v>HTML datasheet</v>
      </c>
      <c r="E50" s="3">
        <v>1</v>
      </c>
      <c r="F50" s="3"/>
      <c r="G50" s="3" t="s">
        <v>108</v>
      </c>
      <c r="H50" s="3"/>
      <c r="I50" s="3">
        <v>70</v>
      </c>
      <c r="J50" s="3"/>
      <c r="K50" s="3"/>
      <c r="L50" s="3"/>
      <c r="M50" s="3">
        <v>3.5999999999999997E-2</v>
      </c>
      <c r="N50" s="3">
        <v>3</v>
      </c>
      <c r="O50" s="3" t="s">
        <v>109</v>
      </c>
    </row>
    <row r="51" spans="1:15" ht="20" customHeight="1" x14ac:dyDescent="0.35">
      <c r="A51" s="4" t="str">
        <f>HYPERLINK("https://www.ti.com/product/BZX84C5V6", "BZX84C5V6")</f>
        <v>BZX84C5V6</v>
      </c>
      <c r="B51" s="3"/>
      <c r="C51" s="4" t="str">
        <f>HYPERLINK("https://www.ti.com/lit/gpn/BZX84C5V6", "PDF datasheet")</f>
        <v>PDF datasheet</v>
      </c>
      <c r="D51" s="4" t="str">
        <f>HYPERLINK("https://www.ti.com/document-viewer/BZX84C5V6/datasheet", "HTML datasheet")</f>
        <v>HTML datasheet</v>
      </c>
      <c r="E51" s="3">
        <v>1</v>
      </c>
      <c r="F51" s="3"/>
      <c r="G51" s="3" t="s">
        <v>110</v>
      </c>
      <c r="H51" s="3"/>
      <c r="I51" s="3">
        <v>300</v>
      </c>
      <c r="J51" s="3"/>
      <c r="K51" s="3"/>
      <c r="L51" s="3"/>
      <c r="M51" s="3">
        <v>0.03</v>
      </c>
      <c r="N51" s="3">
        <v>3</v>
      </c>
      <c r="O51" s="3" t="s">
        <v>111</v>
      </c>
    </row>
    <row r="52" spans="1:15" ht="20" customHeight="1" x14ac:dyDescent="0.35">
      <c r="A52" s="4" t="str">
        <f>HYPERLINK("https://www.ti.com/product/BZX84C5V6-Q1", "BZX84C5V6-Q1")</f>
        <v>BZX84C5V6-Q1</v>
      </c>
      <c r="B52" s="3"/>
      <c r="C52" s="4" t="str">
        <f>HYPERLINK("https://www.ti.com/lit/gpn/BZX84C5V6-Q1", "PDF datasheet")</f>
        <v>PDF datasheet</v>
      </c>
      <c r="D52" s="4" t="str">
        <f>HYPERLINK("https://www.ti.com/document-viewer/BZX84C5V6-Q1/datasheet", "HTML datasheet")</f>
        <v>HTML datasheet</v>
      </c>
      <c r="E52" s="3">
        <v>1</v>
      </c>
      <c r="F52" s="3"/>
      <c r="G52" s="3" t="s">
        <v>112</v>
      </c>
      <c r="H52" s="3"/>
      <c r="I52" s="3">
        <v>300</v>
      </c>
      <c r="J52" s="3"/>
      <c r="K52" s="3"/>
      <c r="L52" s="3"/>
      <c r="M52" s="3">
        <v>3.5999999999999997E-2</v>
      </c>
      <c r="N52" s="3">
        <v>3</v>
      </c>
      <c r="O52" s="3" t="s">
        <v>113</v>
      </c>
    </row>
    <row r="53" spans="1:15" ht="20" customHeight="1" x14ac:dyDescent="0.35">
      <c r="A53" s="4" t="str">
        <f>HYPERLINK("https://www.ti.com/product/BZX84C6V8", "BZX84C6V8")</f>
        <v>BZX84C6V8</v>
      </c>
      <c r="B53" s="3"/>
      <c r="C53" s="4" t="str">
        <f>HYPERLINK("https://www.ti.com/lit/gpn/BZX84C6V8", "PDF datasheet")</f>
        <v>PDF datasheet</v>
      </c>
      <c r="D53" s="4" t="str">
        <f>HYPERLINK("https://www.ti.com/document-viewer/BZX84C6V8/datasheet", "HTML datasheet")</f>
        <v>HTML datasheet</v>
      </c>
      <c r="E53" s="3">
        <v>1</v>
      </c>
      <c r="F53" s="3"/>
      <c r="G53" s="3" t="s">
        <v>114</v>
      </c>
      <c r="H53" s="3"/>
      <c r="I53" s="3">
        <v>200</v>
      </c>
      <c r="J53" s="3"/>
      <c r="K53" s="3"/>
      <c r="L53" s="3"/>
      <c r="M53" s="3">
        <v>0.03</v>
      </c>
      <c r="N53" s="3">
        <v>3</v>
      </c>
      <c r="O53" s="3" t="s">
        <v>115</v>
      </c>
    </row>
    <row r="54" spans="1:15" ht="20" customHeight="1" x14ac:dyDescent="0.35">
      <c r="A54" s="4" t="str">
        <f>HYPERLINK("https://www.ti.com/product/BZX84C6V8-Q1", "BZX84C6V8-Q1")</f>
        <v>BZX84C6V8-Q1</v>
      </c>
      <c r="B54" s="3"/>
      <c r="C54" s="4" t="str">
        <f>HYPERLINK("https://www.ti.com/lit/gpn/BZX84C6V8-Q1", "PDF datasheet")</f>
        <v>PDF datasheet</v>
      </c>
      <c r="D54" s="4" t="str">
        <f>HYPERLINK("https://www.ti.com/document-viewer/BZX84C6V8-Q1/datasheet", "HTML datasheet")</f>
        <v>HTML datasheet</v>
      </c>
      <c r="E54" s="3">
        <v>1</v>
      </c>
      <c r="F54" s="3"/>
      <c r="G54" s="3" t="s">
        <v>116</v>
      </c>
      <c r="H54" s="3"/>
      <c r="I54" s="3">
        <v>200</v>
      </c>
      <c r="J54" s="3"/>
      <c r="K54" s="3"/>
      <c r="L54" s="3"/>
      <c r="M54" s="3">
        <v>3.5999999999999997E-2</v>
      </c>
      <c r="N54" s="3">
        <v>3</v>
      </c>
      <c r="O54" s="3" t="s">
        <v>117</v>
      </c>
    </row>
    <row r="55" spans="1:15" ht="20" customHeight="1" x14ac:dyDescent="0.35">
      <c r="A55" s="4" t="str">
        <f>HYPERLINK("https://www.ti.com/product/BZX84C9V1", "BZX84C9V1")</f>
        <v>BZX84C9V1</v>
      </c>
      <c r="B55" s="3"/>
      <c r="C55" s="4" t="str">
        <f>HYPERLINK("https://www.ti.com/lit/gpn/BZX84C9V1", "PDF datasheet")</f>
        <v>PDF datasheet</v>
      </c>
      <c r="D55" s="4" t="str">
        <f>HYPERLINK("https://www.ti.com/document-viewer/BZX84C9V1/datasheet", "HTML datasheet")</f>
        <v>HTML datasheet</v>
      </c>
      <c r="E55" s="3">
        <v>1</v>
      </c>
      <c r="F55" s="3"/>
      <c r="G55" s="3" t="s">
        <v>118</v>
      </c>
      <c r="H55" s="3"/>
      <c r="I55" s="3">
        <v>150</v>
      </c>
      <c r="J55" s="3"/>
      <c r="K55" s="3"/>
      <c r="L55" s="3"/>
      <c r="M55" s="3">
        <v>0.03</v>
      </c>
      <c r="N55" s="3">
        <v>3</v>
      </c>
      <c r="O55" s="3" t="s">
        <v>119</v>
      </c>
    </row>
    <row r="56" spans="1:15" ht="20" customHeight="1" x14ac:dyDescent="0.35">
      <c r="A56" s="4" t="str">
        <f>HYPERLINK("https://www.ti.com/product/BZX84C9V1-Q1", "BZX84C9V1-Q1")</f>
        <v>BZX84C9V1-Q1</v>
      </c>
      <c r="B56" s="3"/>
      <c r="C56" s="4" t="str">
        <f>HYPERLINK("https://www.ti.com/lit/gpn/BZX84C9V1-Q1", "PDF datasheet")</f>
        <v>PDF datasheet</v>
      </c>
      <c r="D56" s="4" t="str">
        <f>HYPERLINK("https://www.ti.com/document-viewer/BZX84C9V1-Q1/datasheet", "HTML datasheet")</f>
        <v>HTML datasheet</v>
      </c>
      <c r="E56" s="3">
        <v>1</v>
      </c>
      <c r="F56" s="3"/>
      <c r="G56" s="3" t="s">
        <v>120</v>
      </c>
      <c r="H56" s="3"/>
      <c r="I56" s="3">
        <v>150</v>
      </c>
      <c r="J56" s="3"/>
      <c r="K56" s="3"/>
      <c r="L56" s="3"/>
      <c r="M56" s="3">
        <v>3.5999999999999997E-2</v>
      </c>
      <c r="N56" s="3">
        <v>3</v>
      </c>
      <c r="O56" s="3" t="s">
        <v>121</v>
      </c>
    </row>
    <row r="57" spans="1:15" ht="20" customHeight="1" x14ac:dyDescent="0.35">
      <c r="A57" s="4" t="str">
        <f>HYPERLINK("https://www.ti.com/product/TVS2210", "TVS2210")</f>
        <v>TVS2210</v>
      </c>
      <c r="B57" s="3">
        <v>22</v>
      </c>
      <c r="C57" s="4" t="str">
        <f>HYPERLINK("https://www.ti.com/lit/gpn/TVS2210", "PDF datasheet")</f>
        <v>PDF datasheet</v>
      </c>
      <c r="D57" s="4" t="str">
        <f>HYPERLINK("https://www.ti.com/document-viewer/TVS2210/datasheet", "HTML datasheet")</f>
        <v>HTML datasheet</v>
      </c>
      <c r="E57" s="3">
        <v>1</v>
      </c>
      <c r="F57" s="3" t="s">
        <v>122</v>
      </c>
      <c r="G57" s="3" t="s">
        <v>27</v>
      </c>
      <c r="H57" s="3">
        <v>700</v>
      </c>
      <c r="I57" s="3">
        <v>59</v>
      </c>
      <c r="J57" s="3">
        <v>8000</v>
      </c>
      <c r="K57" s="3">
        <v>25</v>
      </c>
      <c r="L57" s="3">
        <v>28</v>
      </c>
      <c r="M57" s="3">
        <v>0.125</v>
      </c>
      <c r="N57" s="3">
        <v>2</v>
      </c>
      <c r="O57" s="3" t="s">
        <v>123</v>
      </c>
    </row>
    <row r="58" spans="1:15" ht="20" customHeight="1" x14ac:dyDescent="0.35">
      <c r="A58" s="4" t="str">
        <f>HYPERLINK("https://www.ti.com/product/BZX84WC16V-Q1", "BZX84WC16V-Q1")</f>
        <v>BZX84WC16V-Q1</v>
      </c>
      <c r="B58" s="3"/>
      <c r="C58" s="4" t="str">
        <f>HYPERLINK("https://www.ti.com/lit/gpn/BZX84WC16V-Q1", "PDF datasheet")</f>
        <v>PDF datasheet</v>
      </c>
      <c r="D58" s="4" t="str">
        <f>HYPERLINK("https://www.ti.com/document-viewer/BZX84WC16V-Q1/datasheet", "HTML datasheet")</f>
        <v>HTML datasheet</v>
      </c>
      <c r="E58" s="3">
        <v>1</v>
      </c>
      <c r="F58" s="3"/>
      <c r="G58" s="3" t="s">
        <v>124</v>
      </c>
      <c r="H58" s="3"/>
      <c r="I58" s="3">
        <v>50</v>
      </c>
      <c r="J58" s="3"/>
      <c r="K58" s="3"/>
      <c r="L58" s="3"/>
      <c r="M58" s="3">
        <v>3.7999999999999999E-2</v>
      </c>
      <c r="N58" s="3">
        <v>3</v>
      </c>
      <c r="O58" s="3" t="s">
        <v>125</v>
      </c>
    </row>
    <row r="59" spans="1:15" ht="20" customHeight="1" x14ac:dyDescent="0.35">
      <c r="A59" s="4" t="str">
        <f>HYPERLINK("https://www.ti.com/product/BZX84WC18V-Q1", "BZX84WC18V-Q1")</f>
        <v>BZX84WC18V-Q1</v>
      </c>
      <c r="B59" s="3"/>
      <c r="C59" s="4" t="str">
        <f>HYPERLINK("https://www.ti.com/lit/gpn/BZX84WC18V-Q1", "PDF datasheet")</f>
        <v>PDF datasheet</v>
      </c>
      <c r="D59" s="4" t="str">
        <f>HYPERLINK("https://www.ti.com/document-viewer/BZX84WC18V-Q1/datasheet", "HTML datasheet")</f>
        <v>HTML datasheet</v>
      </c>
      <c r="E59" s="3">
        <v>1</v>
      </c>
      <c r="F59" s="3"/>
      <c r="G59" s="3" t="s">
        <v>126</v>
      </c>
      <c r="H59" s="3"/>
      <c r="I59" s="3">
        <v>45</v>
      </c>
      <c r="J59" s="3"/>
      <c r="K59" s="3"/>
      <c r="L59" s="3"/>
      <c r="M59" s="3">
        <v>3.7999999999999999E-2</v>
      </c>
      <c r="N59" s="3">
        <v>3</v>
      </c>
      <c r="O59" s="3" t="s">
        <v>127</v>
      </c>
    </row>
    <row r="60" spans="1:15" ht="20" customHeight="1" x14ac:dyDescent="0.35">
      <c r="A60" s="4" t="str">
        <f>HYPERLINK("https://www.ti.com/product/BZX84WC5V6-Q1", "BZX84WC5V6-Q1")</f>
        <v>BZX84WC5V6-Q1</v>
      </c>
      <c r="B60" s="3"/>
      <c r="C60" s="4" t="str">
        <f>HYPERLINK("https://www.ti.com/lit/gpn/BZX84WC5V6-Q1", "PDF datasheet")</f>
        <v>PDF datasheet</v>
      </c>
      <c r="D60" s="4" t="str">
        <f>HYPERLINK("https://www.ti.com/document-viewer/BZX84WC5V6-Q1/datasheet", "HTML datasheet")</f>
        <v>HTML datasheet</v>
      </c>
      <c r="E60" s="3">
        <v>1</v>
      </c>
      <c r="F60" s="3"/>
      <c r="G60" s="3" t="s">
        <v>128</v>
      </c>
      <c r="H60" s="3"/>
      <c r="I60" s="3">
        <v>20</v>
      </c>
      <c r="J60" s="3"/>
      <c r="K60" s="3"/>
      <c r="L60" s="3"/>
      <c r="M60" s="3">
        <v>3.7999999999999999E-2</v>
      </c>
      <c r="N60" s="3">
        <v>3</v>
      </c>
      <c r="O60" s="3" t="s">
        <v>129</v>
      </c>
    </row>
    <row r="61" spans="1:15" ht="20" customHeight="1" x14ac:dyDescent="0.35">
      <c r="A61" s="4" t="str">
        <f>HYPERLINK("https://www.ti.com/product/BZX84WC6V8-Q1", "BZX84WC6V8-Q1")</f>
        <v>BZX84WC6V8-Q1</v>
      </c>
      <c r="B61" s="3"/>
      <c r="C61" s="4" t="str">
        <f>HYPERLINK("https://www.ti.com/lit/gpn/BZX84WC6V8-Q1", "PDF datasheet")</f>
        <v>PDF datasheet</v>
      </c>
      <c r="D61" s="4" t="str">
        <f>HYPERLINK("https://www.ti.com/document-viewer/BZX84WC6V8-Q1/datasheet", "HTML datasheet")</f>
        <v>HTML datasheet</v>
      </c>
      <c r="E61" s="3">
        <v>1</v>
      </c>
      <c r="F61" s="3"/>
      <c r="G61" s="3" t="s">
        <v>130</v>
      </c>
      <c r="H61" s="3"/>
      <c r="I61" s="3">
        <v>120</v>
      </c>
      <c r="J61" s="3"/>
      <c r="K61" s="3"/>
      <c r="L61" s="3"/>
      <c r="M61" s="3">
        <v>3.7999999999999999E-2</v>
      </c>
      <c r="N61" s="3">
        <v>3</v>
      </c>
      <c r="O61" s="3" t="s">
        <v>131</v>
      </c>
    </row>
    <row r="62" spans="1:15" ht="20" customHeight="1" x14ac:dyDescent="0.35">
      <c r="A62" s="4" t="str">
        <f>HYPERLINK("https://www.ti.com/product/BZX84WC9V1-Q1", "BZX84WC9V1-Q1")</f>
        <v>BZX84WC9V1-Q1</v>
      </c>
      <c r="B62" s="3"/>
      <c r="C62" s="4" t="str">
        <f>HYPERLINK("https://www.ti.com/lit/gpn/BZX84WC9V1-Q1", "PDF datasheet")</f>
        <v>PDF datasheet</v>
      </c>
      <c r="D62" s="4" t="str">
        <f>HYPERLINK("https://www.ti.com/document-viewer/BZX84WC9V1-Q1/datasheet", "HTML datasheet")</f>
        <v>HTML datasheet</v>
      </c>
      <c r="E62" s="3">
        <v>1</v>
      </c>
      <c r="F62" s="3"/>
      <c r="G62" s="3" t="s">
        <v>132</v>
      </c>
      <c r="H62" s="3"/>
      <c r="I62" s="3">
        <v>90</v>
      </c>
      <c r="J62" s="3"/>
      <c r="K62" s="3"/>
      <c r="L62" s="3"/>
      <c r="M62" s="3">
        <v>3.7999999999999999E-2</v>
      </c>
      <c r="N62" s="3">
        <v>3</v>
      </c>
      <c r="O62" s="3" t="s">
        <v>133</v>
      </c>
    </row>
    <row r="63" spans="1:15" ht="20" customHeight="1" x14ac:dyDescent="0.35">
      <c r="A63" s="4" t="str">
        <f>HYPERLINK("https://www.ti.com/product/BZX84WC16V", "BZX84WC16V")</f>
        <v>BZX84WC16V</v>
      </c>
      <c r="B63" s="3"/>
      <c r="C63" s="4" t="str">
        <f>HYPERLINK("https://www.ti.com/lit/gpn/BZX84WC16V", "PDF datasheet")</f>
        <v>PDF datasheet</v>
      </c>
      <c r="D63" s="4" t="str">
        <f>HYPERLINK("https://www.ti.com/document-viewer/BZX84WC16V/datasheet", "HTML datasheet")</f>
        <v>HTML datasheet</v>
      </c>
      <c r="E63" s="3">
        <v>1</v>
      </c>
      <c r="F63" s="3"/>
      <c r="G63" s="3" t="s">
        <v>134</v>
      </c>
      <c r="H63" s="3"/>
      <c r="I63" s="3">
        <v>50</v>
      </c>
      <c r="J63" s="3"/>
      <c r="K63" s="3"/>
      <c r="L63" s="3"/>
      <c r="M63" s="3">
        <v>3.1E-2</v>
      </c>
      <c r="N63" s="3" t="s">
        <v>135</v>
      </c>
      <c r="O63" s="3" t="s">
        <v>136</v>
      </c>
    </row>
    <row r="64" spans="1:15" ht="20" customHeight="1" x14ac:dyDescent="0.35">
      <c r="A64" s="4" t="str">
        <f>HYPERLINK("https://www.ti.com/product/BZX84WC18V", "BZX84WC18V")</f>
        <v>BZX84WC18V</v>
      </c>
      <c r="B64" s="3"/>
      <c r="C64" s="4" t="str">
        <f>HYPERLINK("https://www.ti.com/lit/gpn/BZX84WC18V", "PDF datasheet")</f>
        <v>PDF datasheet</v>
      </c>
      <c r="D64" s="4" t="str">
        <f>HYPERLINK("https://www.ti.com/document-viewer/BZX84WC18V/datasheet", "HTML datasheet")</f>
        <v>HTML datasheet</v>
      </c>
      <c r="E64" s="3">
        <v>1</v>
      </c>
      <c r="F64" s="3"/>
      <c r="G64" s="3" t="s">
        <v>137</v>
      </c>
      <c r="H64" s="3"/>
      <c r="I64" s="3">
        <v>45</v>
      </c>
      <c r="J64" s="3"/>
      <c r="K64" s="3"/>
      <c r="L64" s="3"/>
      <c r="M64" s="3">
        <v>3.1E-2</v>
      </c>
      <c r="N64" s="3">
        <v>3</v>
      </c>
      <c r="O64" s="3" t="s">
        <v>138</v>
      </c>
    </row>
    <row r="65" spans="1:15" ht="20" customHeight="1" x14ac:dyDescent="0.35">
      <c r="A65" s="4" t="str">
        <f>HYPERLINK("https://www.ti.com/product/BZX84WC5V6", "BZX84WC5V6")</f>
        <v>BZX84WC5V6</v>
      </c>
      <c r="B65" s="3"/>
      <c r="C65" s="4" t="str">
        <f>HYPERLINK("https://www.ti.com/lit/gpn/BZX84WC5V6", "PDF datasheet")</f>
        <v>PDF datasheet</v>
      </c>
      <c r="D65" s="4" t="str">
        <f>HYPERLINK("https://www.ti.com/document-viewer/BZX84WC5V6/datasheet", "HTML datasheet")</f>
        <v>HTML datasheet</v>
      </c>
      <c r="E65" s="3">
        <v>1</v>
      </c>
      <c r="F65" s="3"/>
      <c r="G65" s="3" t="s">
        <v>139</v>
      </c>
      <c r="H65" s="3"/>
      <c r="I65" s="3">
        <v>20</v>
      </c>
      <c r="J65" s="3"/>
      <c r="K65" s="3"/>
      <c r="L65" s="3"/>
      <c r="M65" s="3">
        <v>3.1E-2</v>
      </c>
      <c r="N65" s="3">
        <v>3</v>
      </c>
      <c r="O65" s="3" t="s">
        <v>140</v>
      </c>
    </row>
    <row r="66" spans="1:15" ht="20" customHeight="1" x14ac:dyDescent="0.35">
      <c r="A66" s="4" t="str">
        <f>HYPERLINK("https://www.ti.com/product/BZX84WC6V8", "BZX84WC6V8")</f>
        <v>BZX84WC6V8</v>
      </c>
      <c r="B66" s="3"/>
      <c r="C66" s="4" t="str">
        <f>HYPERLINK("https://www.ti.com/lit/gpn/BZX84WC6V8", "PDF datasheet")</f>
        <v>PDF datasheet</v>
      </c>
      <c r="D66" s="4" t="str">
        <f>HYPERLINK("https://www.ti.com/document-viewer/BZX84WC6V8/datasheet", "HTML datasheet")</f>
        <v>HTML datasheet</v>
      </c>
      <c r="E66" s="3">
        <v>1</v>
      </c>
      <c r="F66" s="3"/>
      <c r="G66" s="3" t="s">
        <v>141</v>
      </c>
      <c r="H66" s="3"/>
      <c r="I66" s="3">
        <v>120</v>
      </c>
      <c r="J66" s="3"/>
      <c r="K66" s="3"/>
      <c r="L66" s="3"/>
      <c r="M66" s="3">
        <v>3.1E-2</v>
      </c>
      <c r="N66" s="3">
        <v>3</v>
      </c>
      <c r="O66" s="3" t="s">
        <v>142</v>
      </c>
    </row>
    <row r="67" spans="1:15" ht="20" customHeight="1" x14ac:dyDescent="0.35">
      <c r="A67" s="4" t="str">
        <f>HYPERLINK("https://www.ti.com/product/BZX84WC9V1", "BZX84WC9V1")</f>
        <v>BZX84WC9V1</v>
      </c>
      <c r="B67" s="3"/>
      <c r="C67" s="4" t="str">
        <f>HYPERLINK("https://www.ti.com/lit/gpn/BZX84WC9V1", "PDF datasheet")</f>
        <v>PDF datasheet</v>
      </c>
      <c r="D67" s="4" t="str">
        <f>HYPERLINK("https://www.ti.com/document-viewer/BZX84WC9V1/datasheet", "HTML datasheet")</f>
        <v>HTML datasheet</v>
      </c>
      <c r="E67" s="3">
        <v>1</v>
      </c>
      <c r="F67" s="3"/>
      <c r="G67" s="3" t="s">
        <v>143</v>
      </c>
      <c r="H67" s="3"/>
      <c r="I67" s="3">
        <v>90</v>
      </c>
      <c r="J67" s="3"/>
      <c r="K67" s="3"/>
      <c r="L67" s="3"/>
      <c r="M67" s="3">
        <v>3.1E-2</v>
      </c>
      <c r="N67" s="3">
        <v>3</v>
      </c>
      <c r="O67" s="3" t="s">
        <v>144</v>
      </c>
    </row>
    <row r="68" spans="1:15" ht="20" customHeight="1" x14ac:dyDescent="0.35">
      <c r="A68" s="4" t="str">
        <f>HYPERLINK("https://www.ti.com/product/MMBZ27VAL", "MMBZ27VAL")</f>
        <v>MMBZ27VAL</v>
      </c>
      <c r="B68" s="3">
        <v>22</v>
      </c>
      <c r="C68" s="4" t="str">
        <f>HYPERLINK("https://www.ti.com/lit/gpn/MMBZ27VAL", "PDF datasheet")</f>
        <v>PDF datasheet</v>
      </c>
      <c r="D68" s="4" t="str">
        <f>HYPERLINK("https://www.ti.com/document-viewer/MMBZ27VAL/datasheet", "HTML datasheet")</f>
        <v>HTML datasheet</v>
      </c>
      <c r="E68" s="3">
        <v>2</v>
      </c>
      <c r="F68" s="3" t="s">
        <v>145</v>
      </c>
      <c r="G68" s="3" t="s">
        <v>146</v>
      </c>
      <c r="H68" s="3">
        <v>350</v>
      </c>
      <c r="I68" s="3">
        <v>60</v>
      </c>
      <c r="J68" s="3">
        <v>30000</v>
      </c>
      <c r="K68" s="3">
        <v>11.4</v>
      </c>
      <c r="L68" s="3">
        <v>38</v>
      </c>
      <c r="M68" s="3">
        <v>4.4999999999999998E-2</v>
      </c>
      <c r="N68" s="3">
        <v>3</v>
      </c>
      <c r="O68" s="3" t="s">
        <v>147</v>
      </c>
    </row>
    <row r="69" spans="1:15" ht="20" customHeight="1" x14ac:dyDescent="0.35">
      <c r="A69" s="4" t="str">
        <f>HYPERLINK("https://www.ti.com/product/TSD12-Q1", "TSD12-Q1")</f>
        <v>TSD12-Q1</v>
      </c>
      <c r="B69" s="3">
        <v>12</v>
      </c>
      <c r="C69" s="4" t="str">
        <f>HYPERLINK("https://www.ti.com/lit/gpn/TSD12-Q1", "PDF datasheet")</f>
        <v>PDF datasheet</v>
      </c>
      <c r="D69" s="4" t="str">
        <f>HYPERLINK("https://www.ti.com/document-viewer/TSD12-Q1/datasheet", "HTML datasheet")</f>
        <v>HTML datasheet</v>
      </c>
      <c r="E69" s="3">
        <v>1</v>
      </c>
      <c r="F69" s="3" t="s">
        <v>148</v>
      </c>
      <c r="G69" s="3" t="s">
        <v>149</v>
      </c>
      <c r="H69" s="3">
        <v>300</v>
      </c>
      <c r="I69" s="3">
        <v>12</v>
      </c>
      <c r="J69" s="3">
        <v>30000</v>
      </c>
      <c r="K69" s="3">
        <v>18</v>
      </c>
      <c r="L69" s="3">
        <v>23</v>
      </c>
      <c r="M69" s="3">
        <v>9.7000000000000003E-2</v>
      </c>
      <c r="N69" s="3">
        <v>2</v>
      </c>
      <c r="O69" s="3" t="s">
        <v>150</v>
      </c>
    </row>
    <row r="70" spans="1:15" ht="20" customHeight="1" x14ac:dyDescent="0.35">
      <c r="A70" s="4" t="str">
        <f>HYPERLINK("https://www.ti.com/product/TSD15-Q1", "TSD15-Q1")</f>
        <v>TSD15-Q1</v>
      </c>
      <c r="B70" s="3">
        <v>15</v>
      </c>
      <c r="C70" s="4" t="str">
        <f>HYPERLINK("https://www.ti.com/lit/gpn/TSD15-Q1", "PDF datasheet")</f>
        <v>PDF datasheet</v>
      </c>
      <c r="D70" s="4" t="str">
        <f>HYPERLINK("https://www.ti.com/document-viewer/TSD15-Q1/datasheet", "HTML datasheet")</f>
        <v>HTML datasheet</v>
      </c>
      <c r="E70" s="3">
        <v>1</v>
      </c>
      <c r="F70" s="3" t="s">
        <v>151</v>
      </c>
      <c r="G70" s="3" t="s">
        <v>152</v>
      </c>
      <c r="H70" s="3">
        <v>300</v>
      </c>
      <c r="I70" s="3">
        <v>12</v>
      </c>
      <c r="J70" s="3">
        <v>30000</v>
      </c>
      <c r="K70" s="3">
        <v>15</v>
      </c>
      <c r="L70" s="3">
        <v>31</v>
      </c>
      <c r="M70" s="3">
        <v>9.7000000000000003E-2</v>
      </c>
      <c r="N70" s="3">
        <v>2</v>
      </c>
      <c r="O70" s="3" t="s">
        <v>153</v>
      </c>
    </row>
    <row r="71" spans="1:15" ht="20" customHeight="1" x14ac:dyDescent="0.35">
      <c r="A71" s="4" t="str">
        <f>HYPERLINK("https://www.ti.com/product/TSD18-Q1", "TSD18-Q1")</f>
        <v>TSD18-Q1</v>
      </c>
      <c r="B71" s="3">
        <v>18</v>
      </c>
      <c r="C71" s="4" t="str">
        <f>HYPERLINK("https://www.ti.com/lit/gpn/TSD18-Q1", "PDF datasheet")</f>
        <v>PDF datasheet</v>
      </c>
      <c r="D71" s="4" t="str">
        <f>HYPERLINK("https://www.ti.com/document-viewer/TSD18-Q1/datasheet", "HTML datasheet")</f>
        <v>HTML datasheet</v>
      </c>
      <c r="E71" s="3">
        <v>1</v>
      </c>
      <c r="F71" s="3" t="s">
        <v>154</v>
      </c>
      <c r="G71" s="3" t="s">
        <v>155</v>
      </c>
      <c r="H71" s="3">
        <v>300</v>
      </c>
      <c r="I71" s="3">
        <v>12</v>
      </c>
      <c r="J71" s="3">
        <v>30000</v>
      </c>
      <c r="K71" s="3">
        <v>15</v>
      </c>
      <c r="L71" s="3">
        <v>31</v>
      </c>
      <c r="M71" s="3">
        <v>9.7000000000000003E-2</v>
      </c>
      <c r="N71" s="3">
        <v>2</v>
      </c>
      <c r="O71" s="3" t="s">
        <v>156</v>
      </c>
    </row>
    <row r="72" spans="1:15" ht="20" customHeight="1" x14ac:dyDescent="0.35">
      <c r="A72" s="4" t="str">
        <f>HYPERLINK("https://www.ti.com/product/TSD24-Q1", "TSD24-Q1")</f>
        <v>TSD24-Q1</v>
      </c>
      <c r="B72" s="3">
        <v>24</v>
      </c>
      <c r="C72" s="4" t="str">
        <f>HYPERLINK("https://www.ti.com/lit/gpn/TSD24-Q1", "PDF datasheet")</f>
        <v>PDF datasheet</v>
      </c>
      <c r="D72" s="4" t="str">
        <f>HYPERLINK("https://www.ti.com/document-viewer/TSD24-Q1/datasheet", "HTML datasheet")</f>
        <v>HTML datasheet</v>
      </c>
      <c r="E72" s="3">
        <v>1</v>
      </c>
      <c r="F72" s="3" t="s">
        <v>157</v>
      </c>
      <c r="G72" s="3" t="s">
        <v>158</v>
      </c>
      <c r="H72" s="3">
        <v>250</v>
      </c>
      <c r="I72" s="3">
        <v>12</v>
      </c>
      <c r="J72" s="3">
        <v>30000</v>
      </c>
      <c r="K72" s="3">
        <v>9</v>
      </c>
      <c r="L72" s="3">
        <v>39</v>
      </c>
      <c r="M72" s="3">
        <v>9.7000000000000003E-2</v>
      </c>
      <c r="N72" s="3">
        <v>2</v>
      </c>
      <c r="O72" s="3" t="s">
        <v>159</v>
      </c>
    </row>
    <row r="73" spans="1:15" ht="20" customHeight="1" x14ac:dyDescent="0.35">
      <c r="A73" s="4" t="str">
        <f>HYPERLINK("https://www.ti.com/product/TSD36-Q1", "TSD36-Q1")</f>
        <v>TSD36-Q1</v>
      </c>
      <c r="B73" s="3">
        <v>36</v>
      </c>
      <c r="C73" s="4" t="str">
        <f>HYPERLINK("https://www.ti.com/lit/gpn/TSD36-Q1", "PDF datasheet")</f>
        <v>PDF datasheet</v>
      </c>
      <c r="D73" s="4" t="str">
        <f>HYPERLINK("https://www.ti.com/document-viewer/TSD36-Q1/datasheet", "HTML datasheet")</f>
        <v>HTML datasheet</v>
      </c>
      <c r="E73" s="3">
        <v>1</v>
      </c>
      <c r="F73" s="3" t="s">
        <v>160</v>
      </c>
      <c r="G73" s="3" t="s">
        <v>161</v>
      </c>
      <c r="H73" s="3">
        <v>600</v>
      </c>
      <c r="I73" s="3">
        <v>17</v>
      </c>
      <c r="J73" s="3">
        <v>30000</v>
      </c>
      <c r="K73" s="3">
        <v>15</v>
      </c>
      <c r="L73" s="3">
        <v>46</v>
      </c>
      <c r="M73" s="3">
        <v>9.7000000000000003E-2</v>
      </c>
      <c r="N73" s="3">
        <v>2</v>
      </c>
      <c r="O73" s="3" t="s">
        <v>162</v>
      </c>
    </row>
    <row r="74" spans="1:15" ht="20" customHeight="1" x14ac:dyDescent="0.35">
      <c r="A74" s="4" t="str">
        <f>HYPERLINK("https://www.ti.com/product/MMBZ15VAL", "MMBZ15VAL")</f>
        <v>MMBZ15VAL</v>
      </c>
      <c r="B74" s="3">
        <v>12</v>
      </c>
      <c r="C74" s="4" t="str">
        <f>HYPERLINK("https://www.ti.com/lit/gpn/MMBZ15VAL", "PDF datasheet")</f>
        <v>PDF datasheet</v>
      </c>
      <c r="D74" s="4" t="str">
        <f>HYPERLINK("https://www.ti.com/document-viewer/MMBZ15VAL/datasheet", "HTML datasheet")</f>
        <v>HTML datasheet</v>
      </c>
      <c r="E74" s="3">
        <v>2</v>
      </c>
      <c r="F74" s="3" t="s">
        <v>163</v>
      </c>
      <c r="G74" s="3" t="s">
        <v>164</v>
      </c>
      <c r="H74" s="3"/>
      <c r="I74" s="3">
        <v>105</v>
      </c>
      <c r="J74" s="3">
        <v>30000</v>
      </c>
      <c r="K74" s="3"/>
      <c r="L74" s="3">
        <v>20</v>
      </c>
      <c r="M74" s="3">
        <v>4.4999999999999998E-2</v>
      </c>
      <c r="N74" s="3">
        <v>3</v>
      </c>
      <c r="O74" s="3" t="s">
        <v>165</v>
      </c>
    </row>
    <row r="75" spans="1:15" ht="20" customHeight="1" x14ac:dyDescent="0.35">
      <c r="A75" s="4" t="str">
        <f>HYPERLINK("https://www.ti.com/product/MMBZ15VAL-Q1", "MMBZ15VAL-Q1")</f>
        <v>MMBZ15VAL-Q1</v>
      </c>
      <c r="B75" s="3">
        <v>12</v>
      </c>
      <c r="C75" s="4" t="str">
        <f>HYPERLINK("https://www.ti.com/lit/gpn/MMBZ15VAL-Q1", "PDF datasheet")</f>
        <v>PDF datasheet</v>
      </c>
      <c r="D75" s="4" t="str">
        <f>HYPERLINK("https://www.ti.com/document-viewer/MMBZ15VAL-Q1/datasheet", "HTML datasheet")</f>
        <v>HTML datasheet</v>
      </c>
      <c r="E75" s="3">
        <v>2</v>
      </c>
      <c r="F75" s="3" t="s">
        <v>166</v>
      </c>
      <c r="G75" s="3" t="s">
        <v>167</v>
      </c>
      <c r="H75" s="3"/>
      <c r="I75" s="3">
        <v>105</v>
      </c>
      <c r="J75" s="3">
        <v>30000</v>
      </c>
      <c r="K75" s="3"/>
      <c r="L75" s="3">
        <v>20</v>
      </c>
      <c r="M75" s="3">
        <v>6.5000000000000002E-2</v>
      </c>
      <c r="N75" s="3">
        <v>3</v>
      </c>
      <c r="O75" s="3" t="s">
        <v>168</v>
      </c>
    </row>
    <row r="76" spans="1:15" ht="20" customHeight="1" x14ac:dyDescent="0.35">
      <c r="A76" s="4" t="str">
        <f>HYPERLINK("https://www.ti.com/product/MMBZ27VAL-Q1", "MMBZ27VAL-Q1")</f>
        <v>MMBZ27VAL-Q1</v>
      </c>
      <c r="B76" s="3">
        <v>22</v>
      </c>
      <c r="C76" s="4" t="str">
        <f>HYPERLINK("https://www.ti.com/lit/gpn/MMBZ27VAL-Q1", "PDF datasheet")</f>
        <v>PDF datasheet</v>
      </c>
      <c r="D76" s="4" t="str">
        <f>HYPERLINK("https://www.ti.com/document-viewer/MMBZ27VAL-Q1/datasheet", "HTML datasheet")</f>
        <v>HTML datasheet</v>
      </c>
      <c r="E76" s="3">
        <v>2</v>
      </c>
      <c r="F76" s="3" t="s">
        <v>169</v>
      </c>
      <c r="G76" s="3" t="s">
        <v>170</v>
      </c>
      <c r="H76" s="3">
        <v>350</v>
      </c>
      <c r="I76" s="3">
        <v>60</v>
      </c>
      <c r="J76" s="3">
        <v>30000</v>
      </c>
      <c r="K76" s="3">
        <v>11.4</v>
      </c>
      <c r="L76" s="3">
        <v>38</v>
      </c>
      <c r="M76" s="3">
        <v>6.5000000000000002E-2</v>
      </c>
      <c r="N76" s="3">
        <v>3</v>
      </c>
      <c r="O76" s="3" t="s">
        <v>171</v>
      </c>
    </row>
    <row r="77" spans="1:15" ht="20" customHeight="1" x14ac:dyDescent="0.35">
      <c r="A77" s="4" t="str">
        <f>HYPERLINK("https://www.ti.com/product/BZX84WC15V", "BZX84WC15V")</f>
        <v>BZX84WC15V</v>
      </c>
      <c r="B77" s="3"/>
      <c r="C77" s="4" t="str">
        <f>HYPERLINK("https://www.ti.com/lit/gpn/BZX84WC15V", "PDF datasheet")</f>
        <v>PDF datasheet</v>
      </c>
      <c r="D77" s="4" t="str">
        <f>HYPERLINK("https://www.ti.com/document-viewer/BZX84WC15V/datasheet", "HTML datasheet")</f>
        <v>HTML datasheet</v>
      </c>
      <c r="E77" s="3"/>
      <c r="F77" s="3"/>
      <c r="G77" s="3" t="s">
        <v>172</v>
      </c>
      <c r="H77" s="3"/>
      <c r="I77" s="3">
        <v>68</v>
      </c>
      <c r="J77" s="3"/>
      <c r="K77" s="3"/>
      <c r="L77" s="3"/>
      <c r="M77" s="3">
        <v>3.1E-2</v>
      </c>
      <c r="N77" s="3">
        <v>3</v>
      </c>
      <c r="O77" s="3" t="s">
        <v>173</v>
      </c>
    </row>
    <row r="78" spans="1:15" ht="20" customHeight="1" x14ac:dyDescent="0.35">
      <c r="A78" s="4" t="str">
        <f>HYPERLINK("https://www.ti.com/product/BZX84WC15V-Q1", "BZX84WC15V-Q1")</f>
        <v>BZX84WC15V-Q1</v>
      </c>
      <c r="B78" s="3"/>
      <c r="C78" s="4" t="str">
        <f>HYPERLINK("https://www.ti.com/lit/gpn/BZX84WC15V-Q1", "PDF datasheet")</f>
        <v>PDF datasheet</v>
      </c>
      <c r="D78" s="4" t="str">
        <f>HYPERLINK("https://www.ti.com/document-viewer/BZX84WC15V-Q1/datasheet", "HTML datasheet")</f>
        <v>HTML datasheet</v>
      </c>
      <c r="E78" s="3"/>
      <c r="F78" s="3"/>
      <c r="G78" s="3" t="s">
        <v>174</v>
      </c>
      <c r="H78" s="3"/>
      <c r="I78" s="3">
        <v>68</v>
      </c>
      <c r="J78" s="3"/>
      <c r="K78" s="3"/>
      <c r="L78" s="3"/>
      <c r="M78" s="3">
        <v>3.7999999999999999E-2</v>
      </c>
      <c r="N78" s="3">
        <v>3</v>
      </c>
      <c r="O78" s="3" t="s">
        <v>175</v>
      </c>
    </row>
    <row r="79" spans="1:15" ht="20" customHeight="1" x14ac:dyDescent="0.35">
      <c r="A79" s="4" t="str">
        <f>HYPERLINK("https://www.ti.com/product/TSD12", "TSD12")</f>
        <v>TSD12</v>
      </c>
      <c r="B79" s="3">
        <v>12</v>
      </c>
      <c r="C79" s="4" t="str">
        <f>HYPERLINK("https://www.ti.com/lit/gpn/TSD12", "PDF datasheet")</f>
        <v>PDF datasheet</v>
      </c>
      <c r="D79" s="4" t="str">
        <f>HYPERLINK("https://www.ti.com/document-viewer/TSD12/datasheet", "HTML datasheet")</f>
        <v>HTML datasheet</v>
      </c>
      <c r="E79" s="3">
        <v>1</v>
      </c>
      <c r="F79" s="3" t="s">
        <v>176</v>
      </c>
      <c r="G79" s="3" t="s">
        <v>177</v>
      </c>
      <c r="H79" s="3">
        <v>300</v>
      </c>
      <c r="I79" s="3">
        <v>12</v>
      </c>
      <c r="J79" s="3">
        <v>30000</v>
      </c>
      <c r="K79" s="3">
        <v>18</v>
      </c>
      <c r="L79" s="3">
        <v>23</v>
      </c>
      <c r="M79" s="3">
        <v>7.9000000000000001E-2</v>
      </c>
      <c r="N79" s="3">
        <v>2</v>
      </c>
      <c r="O79" s="3" t="s">
        <v>178</v>
      </c>
    </row>
    <row r="80" spans="1:15" ht="20" customHeight="1" x14ac:dyDescent="0.35">
      <c r="A80" s="4" t="str">
        <f>HYPERLINK("https://www.ti.com/product/TSD15", "TSD15")</f>
        <v>TSD15</v>
      </c>
      <c r="B80" s="3">
        <v>15</v>
      </c>
      <c r="C80" s="4" t="str">
        <f>HYPERLINK("https://www.ti.com/lit/gpn/TSD15", "PDF datasheet")</f>
        <v>PDF datasheet</v>
      </c>
      <c r="D80" s="4" t="str">
        <f>HYPERLINK("https://www.ti.com/document-viewer/TSD15/datasheet", "HTML datasheet")</f>
        <v>HTML datasheet</v>
      </c>
      <c r="E80" s="3">
        <v>1</v>
      </c>
      <c r="F80" s="3" t="s">
        <v>179</v>
      </c>
      <c r="G80" s="3" t="s">
        <v>180</v>
      </c>
      <c r="H80" s="3">
        <v>300</v>
      </c>
      <c r="I80" s="3">
        <v>12</v>
      </c>
      <c r="J80" s="3">
        <v>30000</v>
      </c>
      <c r="K80" s="3">
        <v>15</v>
      </c>
      <c r="L80" s="3">
        <v>31</v>
      </c>
      <c r="M80" s="3">
        <v>7.9000000000000001E-2</v>
      </c>
      <c r="N80" s="3">
        <v>2</v>
      </c>
      <c r="O80" s="3" t="s">
        <v>181</v>
      </c>
    </row>
    <row r="81" spans="1:15" ht="20" customHeight="1" x14ac:dyDescent="0.35">
      <c r="A81" s="4" t="str">
        <f>HYPERLINK("https://www.ti.com/product/TSD18", "TSD18")</f>
        <v>TSD18</v>
      </c>
      <c r="B81" s="3">
        <v>18</v>
      </c>
      <c r="C81" s="4" t="str">
        <f>HYPERLINK("https://www.ti.com/lit/gpn/TSD18", "PDF datasheet")</f>
        <v>PDF datasheet</v>
      </c>
      <c r="D81" s="4" t="str">
        <f>HYPERLINK("https://www.ti.com/document-viewer/TSD18/datasheet", "HTML datasheet")</f>
        <v>HTML datasheet</v>
      </c>
      <c r="E81" s="3">
        <v>1</v>
      </c>
      <c r="F81" s="3" t="s">
        <v>182</v>
      </c>
      <c r="G81" s="3" t="s">
        <v>183</v>
      </c>
      <c r="H81" s="3">
        <v>300</v>
      </c>
      <c r="I81" s="3">
        <v>12</v>
      </c>
      <c r="J81" s="3">
        <v>30000</v>
      </c>
      <c r="K81" s="3">
        <v>15</v>
      </c>
      <c r="L81" s="3">
        <v>31</v>
      </c>
      <c r="M81" s="3">
        <v>7.9000000000000001E-2</v>
      </c>
      <c r="N81" s="3">
        <v>2</v>
      </c>
      <c r="O81" s="3" t="s">
        <v>184</v>
      </c>
    </row>
    <row r="82" spans="1:15" ht="20" customHeight="1" x14ac:dyDescent="0.35">
      <c r="A82" s="4" t="str">
        <f>HYPERLINK("https://www.ti.com/product/TSD24", "TSD24")</f>
        <v>TSD24</v>
      </c>
      <c r="B82" s="3">
        <v>24</v>
      </c>
      <c r="C82" s="4" t="str">
        <f>HYPERLINK("https://www.ti.com/lit/gpn/TSD24", "PDF datasheet")</f>
        <v>PDF datasheet</v>
      </c>
      <c r="D82" s="4" t="str">
        <f>HYPERLINK("https://www.ti.com/document-viewer/TSD24/datasheet", "HTML datasheet")</f>
        <v>HTML datasheet</v>
      </c>
      <c r="E82" s="3">
        <v>1</v>
      </c>
      <c r="F82" s="3" t="s">
        <v>185</v>
      </c>
      <c r="G82" s="3" t="s">
        <v>186</v>
      </c>
      <c r="H82" s="3">
        <v>250</v>
      </c>
      <c r="I82" s="3">
        <v>12</v>
      </c>
      <c r="J82" s="3">
        <v>30000</v>
      </c>
      <c r="K82" s="3">
        <v>9</v>
      </c>
      <c r="L82" s="3">
        <v>39</v>
      </c>
      <c r="M82" s="3">
        <v>7.9000000000000001E-2</v>
      </c>
      <c r="N82" s="3">
        <v>2</v>
      </c>
      <c r="O82" s="3" t="s">
        <v>187</v>
      </c>
    </row>
    <row r="83" spans="1:15" ht="20" customHeight="1" x14ac:dyDescent="0.35">
      <c r="A83" s="4" t="str">
        <f>HYPERLINK("https://www.ti.com/product/TSD36", "TSD36")</f>
        <v>TSD36</v>
      </c>
      <c r="B83" s="3">
        <v>36</v>
      </c>
      <c r="C83" s="4" t="str">
        <f>HYPERLINK("https://www.ti.com/lit/gpn/TSD36", "PDF datasheet")</f>
        <v>PDF datasheet</v>
      </c>
      <c r="D83" s="4" t="str">
        <f>HYPERLINK("https://www.ti.com/document-viewer/TSD36/datasheet", "HTML datasheet")</f>
        <v>HTML datasheet</v>
      </c>
      <c r="E83" s="3">
        <v>1</v>
      </c>
      <c r="F83" s="3" t="s">
        <v>188</v>
      </c>
      <c r="G83" s="3" t="s">
        <v>189</v>
      </c>
      <c r="H83" s="3">
        <v>600</v>
      </c>
      <c r="I83" s="3">
        <v>17</v>
      </c>
      <c r="J83" s="3">
        <v>30000</v>
      </c>
      <c r="K83" s="3">
        <v>15</v>
      </c>
      <c r="L83" s="3">
        <v>46</v>
      </c>
      <c r="M83" s="3">
        <v>7.9000000000000001E-2</v>
      </c>
      <c r="N83" s="3">
        <v>2</v>
      </c>
      <c r="O83" s="3" t="s">
        <v>190</v>
      </c>
    </row>
    <row r="84" spans="1:15" ht="20" customHeight="1" x14ac:dyDescent="0.35">
      <c r="A84" s="4" t="str">
        <f>HYPERLINK("https://www.ti.com/product/TSM36A-Q1", "TSM36A-Q1")</f>
        <v>TSM36A-Q1</v>
      </c>
      <c r="B84" s="3">
        <v>36</v>
      </c>
      <c r="C84" s="4" t="str">
        <f>HYPERLINK("https://www.ti.com/lit/gpn/TSM36A-Q1", "PDF datasheet")</f>
        <v>PDF datasheet</v>
      </c>
      <c r="D84" s="4" t="str">
        <f>HYPERLINK("https://www.ti.com/document-viewer/TSM36A-Q1/datasheet", "HTML datasheet")</f>
        <v>HTML datasheet</v>
      </c>
      <c r="E84" s="3">
        <v>1</v>
      </c>
      <c r="F84" s="3" t="s">
        <v>191</v>
      </c>
      <c r="G84" s="3" t="s">
        <v>192</v>
      </c>
      <c r="H84" s="3">
        <v>2000</v>
      </c>
      <c r="I84" s="3">
        <v>50</v>
      </c>
      <c r="J84" s="3">
        <v>30000</v>
      </c>
      <c r="K84" s="3">
        <v>41</v>
      </c>
      <c r="L84" s="3">
        <v>57</v>
      </c>
      <c r="M84" s="3">
        <v>0.13200000000000001</v>
      </c>
      <c r="N84" s="3">
        <v>3</v>
      </c>
      <c r="O84" s="3" t="s">
        <v>193</v>
      </c>
    </row>
    <row r="85" spans="1:15" ht="20" customHeight="1" x14ac:dyDescent="0.35">
      <c r="A85" s="4" t="str">
        <f>HYPERLINK("https://www.ti.com/product/TSM36CA-Q1", "TSM36CA-Q1")</f>
        <v>TSM36CA-Q1</v>
      </c>
      <c r="B85" s="3">
        <v>36</v>
      </c>
      <c r="C85" s="4" t="str">
        <f>HYPERLINK("https://www.ti.com/lit/gpn/TSM36CA-Q1", "PDF datasheet")</f>
        <v>PDF datasheet</v>
      </c>
      <c r="D85" s="4" t="str">
        <f>HYPERLINK("https://www.ti.com/document-viewer/TSM36CA-Q1/datasheet", "HTML datasheet")</f>
        <v>HTML datasheet</v>
      </c>
      <c r="E85" s="3">
        <v>1</v>
      </c>
      <c r="F85" s="3" t="s">
        <v>194</v>
      </c>
      <c r="G85" s="3" t="s">
        <v>195</v>
      </c>
      <c r="H85" s="3">
        <v>1100</v>
      </c>
      <c r="I85" s="3">
        <v>15</v>
      </c>
      <c r="J85" s="3">
        <v>30000</v>
      </c>
      <c r="K85" s="3">
        <v>20</v>
      </c>
      <c r="L85" s="3">
        <v>58</v>
      </c>
      <c r="M85" s="3">
        <v>0.13700000000000001</v>
      </c>
      <c r="N85" s="3">
        <v>3</v>
      </c>
      <c r="O85" s="3" t="s">
        <v>196</v>
      </c>
    </row>
    <row r="86" spans="1:15" ht="20" customHeight="1" x14ac:dyDescent="0.35">
      <c r="A86" s="4" t="str">
        <f>HYPERLINK("https://www.ti.com/product/BZX84WC39V-Q1", "BZX84WC39V-Q1")</f>
        <v>BZX84WC39V-Q1</v>
      </c>
      <c r="B86" s="3"/>
      <c r="C86" s="4" t="str">
        <f>HYPERLINK("https://www.ti.com/lit/gpn/BZX84WC39V-Q1", "PDF datasheet")</f>
        <v>PDF datasheet</v>
      </c>
      <c r="D86" s="4" t="str">
        <f>HYPERLINK("https://www.ti.com/document-viewer/BZX84WC39V-Q1/datasheet", "HTML datasheet")</f>
        <v>HTML datasheet</v>
      </c>
      <c r="E86" s="3"/>
      <c r="F86" s="3"/>
      <c r="G86" s="3" t="s">
        <v>197</v>
      </c>
      <c r="H86" s="3"/>
      <c r="I86" s="3">
        <v>25</v>
      </c>
      <c r="J86" s="3"/>
      <c r="K86" s="3"/>
      <c r="L86" s="3"/>
      <c r="M86" s="3">
        <v>3.7999999999999999E-2</v>
      </c>
      <c r="N86" s="3">
        <v>3</v>
      </c>
      <c r="O86" s="3" t="s">
        <v>198</v>
      </c>
    </row>
    <row r="87" spans="1:15" ht="20" customHeight="1" x14ac:dyDescent="0.35">
      <c r="A87" s="4" t="str">
        <f>HYPERLINK("https://www.ti.com/product/BZX84C39V-Q1", "BZX84C39V-Q1")</f>
        <v>BZX84C39V-Q1</v>
      </c>
      <c r="B87" s="3"/>
      <c r="C87" s="4" t="str">
        <f>HYPERLINK("https://www.ti.com/lit/gpn/BZX84C39V-Q1", "PDF datasheet")</f>
        <v>PDF datasheet</v>
      </c>
      <c r="D87" s="4" t="str">
        <f>HYPERLINK("https://www.ti.com/document-viewer/BZX84C39V-Q1/datasheet", "HTML datasheet")</f>
        <v>HTML datasheet</v>
      </c>
      <c r="E87" s="3"/>
      <c r="F87" s="3"/>
      <c r="G87" s="3" t="s">
        <v>199</v>
      </c>
      <c r="H87" s="3"/>
      <c r="I87" s="3">
        <v>25</v>
      </c>
      <c r="J87" s="3"/>
      <c r="K87" s="3"/>
      <c r="L87" s="3"/>
      <c r="M87" s="3">
        <v>3.5999999999999997E-2</v>
      </c>
      <c r="N87" s="3">
        <v>3</v>
      </c>
      <c r="O87" s="3" t="s">
        <v>200</v>
      </c>
    </row>
    <row r="88" spans="1:15" ht="20" customHeight="1" x14ac:dyDescent="0.35">
      <c r="A88" s="4" t="str">
        <f>HYPERLINK("https://www.ti.com/product/BZX84WC39V", "BZX84WC39V")</f>
        <v>BZX84WC39V</v>
      </c>
      <c r="B88" s="3"/>
      <c r="C88" s="4" t="str">
        <f>HYPERLINK("https://www.ti.com/lit/gpn/BZX84WC39V", "PDF datasheet")</f>
        <v>PDF datasheet</v>
      </c>
      <c r="D88" s="4" t="str">
        <f>HYPERLINK("https://www.ti.com/document-viewer/BZX84WC39V/datasheet", "HTML datasheet")</f>
        <v>HTML datasheet</v>
      </c>
      <c r="E88" s="3"/>
      <c r="F88" s="3"/>
      <c r="G88" s="3" t="s">
        <v>201</v>
      </c>
      <c r="H88" s="3"/>
      <c r="I88" s="3">
        <v>80</v>
      </c>
      <c r="J88" s="3"/>
      <c r="K88" s="3"/>
      <c r="L88" s="3"/>
      <c r="M88" s="3">
        <v>3.1E-2</v>
      </c>
      <c r="N88" s="3">
        <v>3</v>
      </c>
      <c r="O88" s="3" t="s">
        <v>202</v>
      </c>
    </row>
    <row r="89" spans="1:15" ht="20" customHeight="1" x14ac:dyDescent="0.35">
      <c r="A89" s="4" t="str">
        <f>HYPERLINK("https://www.ti.com/product/ESD562-Q1", "ESD562-Q1")</f>
        <v>ESD562-Q1</v>
      </c>
      <c r="B89" s="3">
        <v>12</v>
      </c>
      <c r="C89" s="4" t="str">
        <f>HYPERLINK("https://www.ti.com/lit/gpn/ESD562-Q1", "PDF datasheet")</f>
        <v>PDF datasheet</v>
      </c>
      <c r="D89" s="4" t="str">
        <f>HYPERLINK("https://www.ti.com/document-viewer/ESD562-Q1/datasheet", "HTML datasheet")</f>
        <v>HTML datasheet</v>
      </c>
      <c r="E89" s="3">
        <v>2</v>
      </c>
      <c r="F89" s="3" t="s">
        <v>203</v>
      </c>
      <c r="G89" s="3" t="s">
        <v>204</v>
      </c>
      <c r="H89" s="3">
        <v>70</v>
      </c>
      <c r="I89" s="3">
        <v>1.5</v>
      </c>
      <c r="J89" s="3">
        <v>22000</v>
      </c>
      <c r="K89" s="3">
        <v>3.5</v>
      </c>
      <c r="L89" s="3">
        <v>20</v>
      </c>
      <c r="M89" s="3">
        <v>0.08</v>
      </c>
      <c r="N89" s="3">
        <v>3</v>
      </c>
      <c r="O89" s="3" t="s">
        <v>205</v>
      </c>
    </row>
    <row r="90" spans="1:15" ht="20" customHeight="1" x14ac:dyDescent="0.35">
      <c r="A90" s="4" t="str">
        <f>HYPERLINK("https://www.ti.com/product/TSD03", "TSD03")</f>
        <v>TSD03</v>
      </c>
      <c r="B90" s="3">
        <v>3.6</v>
      </c>
      <c r="C90" s="4" t="str">
        <f>HYPERLINK("https://www.ti.com/lit/gpn/TSD03", "PDF datasheet")</f>
        <v>PDF datasheet</v>
      </c>
      <c r="D90" s="4" t="str">
        <f>HYPERLINK("https://www.ti.com/document-viewer/TSD03/datasheet", "HTML datasheet")</f>
        <v>HTML datasheet</v>
      </c>
      <c r="E90" s="3">
        <v>1</v>
      </c>
      <c r="F90" s="3" t="s">
        <v>206</v>
      </c>
      <c r="G90" s="3" t="s">
        <v>207</v>
      </c>
      <c r="H90" s="3">
        <v>170</v>
      </c>
      <c r="I90" s="3">
        <v>4.5</v>
      </c>
      <c r="J90" s="3">
        <v>30000</v>
      </c>
      <c r="K90" s="3">
        <v>25</v>
      </c>
      <c r="L90" s="3">
        <v>6.5</v>
      </c>
      <c r="M90" s="3">
        <v>7.9000000000000001E-2</v>
      </c>
      <c r="N90" s="3">
        <v>2</v>
      </c>
      <c r="O90" s="3" t="s">
        <v>208</v>
      </c>
    </row>
    <row r="91" spans="1:15" ht="20" customHeight="1" x14ac:dyDescent="0.35">
      <c r="A91" s="4" t="str">
        <f>HYPERLINK("https://www.ti.com/product/BZX84WC27V", "BZX84WC27V")</f>
        <v>BZX84WC27V</v>
      </c>
      <c r="B91" s="3"/>
      <c r="C91" s="4" t="str">
        <f>HYPERLINK("https://www.ti.com/lit/gpn/BZX84WC27V", "PDF datasheet")</f>
        <v>PDF datasheet</v>
      </c>
      <c r="D91" s="4" t="str">
        <f>HYPERLINK("https://www.ti.com/document-viewer/BZX84WC27V/datasheet", "HTML datasheet")</f>
        <v>HTML datasheet</v>
      </c>
      <c r="E91" s="3"/>
      <c r="F91" s="3"/>
      <c r="G91" s="3" t="s">
        <v>209</v>
      </c>
      <c r="H91" s="3"/>
      <c r="I91" s="3">
        <v>35</v>
      </c>
      <c r="J91" s="3"/>
      <c r="K91" s="3"/>
      <c r="L91" s="3"/>
      <c r="M91" s="3">
        <v>3.1E-2</v>
      </c>
      <c r="N91" s="3">
        <v>3</v>
      </c>
      <c r="O91" s="3" t="s">
        <v>210</v>
      </c>
    </row>
    <row r="92" spans="1:15" ht="20" customHeight="1" x14ac:dyDescent="0.35">
      <c r="A92" s="4" t="str">
        <f>HYPERLINK("https://www.ti.com/product/BZX84WC27V-Q1", "BZX84WC27V-Q1")</f>
        <v>BZX84WC27V-Q1</v>
      </c>
      <c r="B92" s="3"/>
      <c r="C92" s="4" t="str">
        <f>HYPERLINK("https://www.ti.com/lit/gpn/BZX84WC27V-Q1", "PDF datasheet")</f>
        <v>PDF datasheet</v>
      </c>
      <c r="D92" s="4" t="str">
        <f>HYPERLINK("https://www.ti.com/document-viewer/BZX84WC27V-Q1/datasheet", "HTML datasheet")</f>
        <v>HTML datasheet</v>
      </c>
      <c r="E92" s="3"/>
      <c r="F92" s="3"/>
      <c r="G92" s="3" t="s">
        <v>211</v>
      </c>
      <c r="H92" s="3"/>
      <c r="I92" s="3">
        <v>80</v>
      </c>
      <c r="J92" s="3"/>
      <c r="K92" s="3"/>
      <c r="L92" s="3"/>
      <c r="M92" s="3">
        <v>3.7999999999999999E-2</v>
      </c>
      <c r="N92" s="3">
        <v>3</v>
      </c>
      <c r="O92" s="3" t="s">
        <v>212</v>
      </c>
    </row>
    <row r="93" spans="1:15" ht="20" customHeight="1" x14ac:dyDescent="0.35">
      <c r="A93" s="4" t="str">
        <f>HYPERLINK("https://www.ti.com/product/BZX84WC8V2", "BZX84WC8V2")</f>
        <v>BZX84WC8V2</v>
      </c>
      <c r="B93" s="3"/>
      <c r="C93" s="4" t="str">
        <f>HYPERLINK("https://www.ti.com/lit/gpn/BZX84WC8V2", "PDF datasheet")</f>
        <v>PDF datasheet</v>
      </c>
      <c r="D93" s="4" t="str">
        <f>HYPERLINK("https://www.ti.com/document-viewer/BZX84WC8V2/datasheet", "HTML datasheet")</f>
        <v>HTML datasheet</v>
      </c>
      <c r="E93" s="3">
        <v>1</v>
      </c>
      <c r="F93" s="3"/>
      <c r="G93" s="3" t="s">
        <v>213</v>
      </c>
      <c r="H93" s="3"/>
      <c r="I93" s="3">
        <v>80</v>
      </c>
      <c r="J93" s="3"/>
      <c r="K93" s="3"/>
      <c r="L93" s="3"/>
      <c r="M93" s="3">
        <v>3.1E-2</v>
      </c>
      <c r="N93" s="3">
        <v>3</v>
      </c>
      <c r="O93" s="3" t="s">
        <v>214</v>
      </c>
    </row>
    <row r="94" spans="1:15" ht="20" customHeight="1" x14ac:dyDescent="0.35">
      <c r="A94" s="4" t="str">
        <f>HYPERLINK("https://www.ti.com/product/BZX84WC8V2-Q1", "BZX84WC8V2-Q1")</f>
        <v>BZX84WC8V2-Q1</v>
      </c>
      <c r="B94" s="3"/>
      <c r="C94" s="4" t="str">
        <f>HYPERLINK("https://www.ti.com/lit/gpn/BZX84WC8V2-Q1", "PDF datasheet")</f>
        <v>PDF datasheet</v>
      </c>
      <c r="D94" s="4" t="str">
        <f>HYPERLINK("https://www.ti.com/document-viewer/BZX84WC8V2-Q1/datasheet", "HTML datasheet")</f>
        <v>HTML datasheet</v>
      </c>
      <c r="E94" s="3">
        <v>1</v>
      </c>
      <c r="F94" s="3"/>
      <c r="G94" s="3" t="s">
        <v>215</v>
      </c>
      <c r="H94" s="3"/>
      <c r="I94" s="3">
        <v>80</v>
      </c>
      <c r="J94" s="3"/>
      <c r="K94" s="3"/>
      <c r="L94" s="3"/>
      <c r="M94" s="3">
        <v>3.7999999999999999E-2</v>
      </c>
      <c r="N94" s="3">
        <v>3</v>
      </c>
      <c r="O94" s="3" t="s">
        <v>216</v>
      </c>
    </row>
    <row r="95" spans="1:15" ht="20" customHeight="1" x14ac:dyDescent="0.35">
      <c r="A95" s="4" t="str">
        <f>HYPERLINK("https://www.ti.com/product/ESD851-Q1", "ESD851-Q1")</f>
        <v>ESD851-Q1</v>
      </c>
      <c r="B95" s="3">
        <v>36</v>
      </c>
      <c r="C95" s="4" t="str">
        <f>HYPERLINK("https://www.ti.com/lit/gpn/ESD851-Q1", "PDF datasheet")</f>
        <v>PDF datasheet</v>
      </c>
      <c r="D95" s="4" t="str">
        <f>HYPERLINK("https://www.ti.com/document-viewer/ESD851-Q1/datasheet", "HTML datasheet")</f>
        <v>HTML datasheet</v>
      </c>
      <c r="E95" s="3">
        <v>1</v>
      </c>
      <c r="F95" s="3" t="s">
        <v>217</v>
      </c>
      <c r="G95" s="3" t="s">
        <v>218</v>
      </c>
      <c r="H95" s="3">
        <v>400</v>
      </c>
      <c r="I95" s="3">
        <v>4.3</v>
      </c>
      <c r="J95" s="3">
        <v>30000</v>
      </c>
      <c r="K95" s="3">
        <v>6.5</v>
      </c>
      <c r="L95" s="3">
        <v>47</v>
      </c>
      <c r="M95" s="3">
        <v>7.5999999999999998E-2</v>
      </c>
      <c r="N95" s="3">
        <v>2</v>
      </c>
      <c r="O95" s="3" t="s">
        <v>219</v>
      </c>
    </row>
    <row r="96" spans="1:15" ht="20" customHeight="1" x14ac:dyDescent="0.35">
      <c r="A96" s="4" t="str">
        <f>HYPERLINK("https://www.ti.com/product/ESD801-Q1", "ESD801-Q1")</f>
        <v>ESD801-Q1</v>
      </c>
      <c r="B96" s="3">
        <v>36</v>
      </c>
      <c r="C96" s="4" t="str">
        <f>HYPERLINK("https://www.ti.com/lit/gpn/ESD801-Q1", "PDF datasheet")</f>
        <v>PDF datasheet</v>
      </c>
      <c r="D96" s="4" t="str">
        <f>HYPERLINK("https://www.ti.com/document-viewer/ESD801-Q1/datasheet", "HTML datasheet")</f>
        <v>HTML datasheet</v>
      </c>
      <c r="E96" s="3">
        <v>1</v>
      </c>
      <c r="F96" s="3" t="s">
        <v>220</v>
      </c>
      <c r="G96" s="3" t="s">
        <v>221</v>
      </c>
      <c r="H96" s="3">
        <v>210</v>
      </c>
      <c r="I96" s="3">
        <v>0.3</v>
      </c>
      <c r="J96" s="3">
        <v>15000</v>
      </c>
      <c r="K96" s="3">
        <v>3</v>
      </c>
      <c r="L96" s="3">
        <v>64</v>
      </c>
      <c r="M96" s="3">
        <v>0.11899999999999999</v>
      </c>
      <c r="N96" s="3">
        <v>2</v>
      </c>
      <c r="O96" s="3" t="s">
        <v>222</v>
      </c>
    </row>
    <row r="97" spans="1:15" ht="20" customHeight="1" x14ac:dyDescent="0.35">
      <c r="A97" s="4" t="str">
        <f>HYPERLINK("https://www.ti.com/product/BZX84C15V-Q1", "BZX84C15V-Q1")</f>
        <v>BZX84C15V-Q1</v>
      </c>
      <c r="B97" s="3"/>
      <c r="C97" s="4" t="str">
        <f>HYPERLINK("https://www.ti.com/lit/gpn/BZX84C15V-Q1", "PDF datasheet")</f>
        <v>PDF datasheet</v>
      </c>
      <c r="D97" s="4" t="str">
        <f>HYPERLINK("https://www.ti.com/document-viewer/BZX84C15V-Q1/datasheet", "HTML datasheet")</f>
        <v>HTML datasheet</v>
      </c>
      <c r="E97" s="3">
        <v>1</v>
      </c>
      <c r="F97" s="3"/>
      <c r="G97" s="3" t="s">
        <v>223</v>
      </c>
      <c r="H97" s="3"/>
      <c r="I97" s="3">
        <v>68</v>
      </c>
      <c r="J97" s="3"/>
      <c r="K97" s="3"/>
      <c r="L97" s="3"/>
      <c r="M97" s="3">
        <v>3.5999999999999997E-2</v>
      </c>
      <c r="N97" s="3">
        <v>3</v>
      </c>
      <c r="O97" s="3" t="s">
        <v>224</v>
      </c>
    </row>
    <row r="98" spans="1:15" ht="20" customHeight="1" x14ac:dyDescent="0.35">
      <c r="A98" s="4" t="str">
        <f>HYPERLINK("https://www.ti.com/product/BZX84C27V-Q1", "BZX84C27V-Q1")</f>
        <v>BZX84C27V-Q1</v>
      </c>
      <c r="B98" s="3"/>
      <c r="C98" s="4" t="str">
        <f>HYPERLINK("https://www.ti.com/lit/gpn/BZX84C27V-Q1", "PDF datasheet")</f>
        <v>PDF datasheet</v>
      </c>
      <c r="D98" s="4" t="str">
        <f>HYPERLINK("https://www.ti.com/document-viewer/BZX84C27V-Q1/datasheet", "HTML datasheet")</f>
        <v>HTML datasheet</v>
      </c>
      <c r="E98" s="3">
        <v>1</v>
      </c>
      <c r="F98" s="3"/>
      <c r="G98" s="3" t="s">
        <v>225</v>
      </c>
      <c r="H98" s="3"/>
      <c r="I98" s="3">
        <v>35</v>
      </c>
      <c r="J98" s="3"/>
      <c r="K98" s="3"/>
      <c r="L98" s="3"/>
      <c r="M98" s="3">
        <v>3.5999999999999997E-2</v>
      </c>
      <c r="N98" s="3">
        <v>3</v>
      </c>
      <c r="O98" s="3" t="s">
        <v>226</v>
      </c>
    </row>
    <row r="99" spans="1:15" ht="20" customHeight="1" x14ac:dyDescent="0.35">
      <c r="A99" s="4" t="str">
        <f>HYPERLINK("https://www.ti.com/product/BZX84C8V2-Q1", "BZX84C8V2-Q1")</f>
        <v>BZX84C8V2-Q1</v>
      </c>
      <c r="B99" s="3"/>
      <c r="C99" s="4" t="str">
        <f>HYPERLINK("https://www.ti.com/lit/gpn/BZX84C8V2-Q1", "PDF datasheet")</f>
        <v>PDF datasheet</v>
      </c>
      <c r="D99" s="4" t="str">
        <f>HYPERLINK("https://www.ti.com/document-viewer/BZX84C8V2-Q1/datasheet", "HTML datasheet")</f>
        <v>HTML datasheet</v>
      </c>
      <c r="E99" s="3">
        <v>1</v>
      </c>
      <c r="F99" s="3"/>
      <c r="G99" s="3" t="s">
        <v>227</v>
      </c>
      <c r="H99" s="3"/>
      <c r="I99" s="3">
        <v>80</v>
      </c>
      <c r="J99" s="3"/>
      <c r="K99" s="3"/>
      <c r="L99" s="3"/>
      <c r="M99" s="3">
        <v>3.5999999999999997E-2</v>
      </c>
      <c r="N99" s="3">
        <v>3</v>
      </c>
      <c r="O99" s="3" t="s">
        <v>228</v>
      </c>
    </row>
    <row r="100" spans="1:15" ht="20" customHeight="1" x14ac:dyDescent="0.35">
      <c r="A100" s="4" t="str">
        <f>HYPERLINK("https://www.ti.com/product/BZX84C15V", "BZX84C15V")</f>
        <v>BZX84C15V</v>
      </c>
      <c r="B100" s="3"/>
      <c r="C100" s="4" t="str">
        <f>HYPERLINK("https://www.ti.com/lit/gpn/BZX84C15V", "PDF datasheet")</f>
        <v>PDF datasheet</v>
      </c>
      <c r="D100" s="4" t="str">
        <f>HYPERLINK("https://www.ti.com/document-viewer/BZX84C15V/datasheet", "HTML datasheet")</f>
        <v>HTML datasheet</v>
      </c>
      <c r="E100" s="3">
        <v>1</v>
      </c>
      <c r="F100" s="3"/>
      <c r="G100" s="3" t="s">
        <v>229</v>
      </c>
      <c r="H100" s="3"/>
      <c r="I100" s="3">
        <v>68</v>
      </c>
      <c r="J100" s="3"/>
      <c r="K100" s="3"/>
      <c r="L100" s="3"/>
      <c r="M100" s="3">
        <v>0.03</v>
      </c>
      <c r="N100" s="3">
        <v>3</v>
      </c>
      <c r="O100" s="3" t="s">
        <v>230</v>
      </c>
    </row>
    <row r="101" spans="1:15" ht="20" customHeight="1" x14ac:dyDescent="0.35">
      <c r="A101" s="4" t="str">
        <f>HYPERLINK("https://www.ti.com/product/BZX84C27V", "BZX84C27V")</f>
        <v>BZX84C27V</v>
      </c>
      <c r="B101" s="3"/>
      <c r="C101" s="4" t="str">
        <f>HYPERLINK("https://www.ti.com/lit/gpn/BZX84C27V", "PDF datasheet")</f>
        <v>PDF datasheet</v>
      </c>
      <c r="D101" s="4" t="str">
        <f>HYPERLINK("https://www.ti.com/document-viewer/BZX84C27V/datasheet", "HTML datasheet")</f>
        <v>HTML datasheet</v>
      </c>
      <c r="E101" s="3">
        <v>1</v>
      </c>
      <c r="F101" s="3"/>
      <c r="G101" s="3" t="s">
        <v>231</v>
      </c>
      <c r="H101" s="3"/>
      <c r="I101" s="3">
        <v>35</v>
      </c>
      <c r="J101" s="3"/>
      <c r="K101" s="3"/>
      <c r="L101" s="3"/>
      <c r="M101" s="3">
        <v>0.03</v>
      </c>
      <c r="N101" s="3">
        <v>3</v>
      </c>
      <c r="O101" s="3" t="s">
        <v>232</v>
      </c>
    </row>
    <row r="102" spans="1:15" ht="20" customHeight="1" x14ac:dyDescent="0.35">
      <c r="A102" s="4" t="str">
        <f>HYPERLINK("https://www.ti.com/product/ESD801", "ESD801")</f>
        <v>ESD801</v>
      </c>
      <c r="B102" s="3">
        <v>36</v>
      </c>
      <c r="C102" s="4" t="str">
        <f>HYPERLINK("https://www.ti.com/lit/gpn/ESD801", "PDF datasheet")</f>
        <v>PDF datasheet</v>
      </c>
      <c r="D102" s="4" t="str">
        <f>HYPERLINK("https://www.ti.com/document-viewer/ESD801/datasheet", "HTML datasheet")</f>
        <v>HTML datasheet</v>
      </c>
      <c r="E102" s="3">
        <v>1</v>
      </c>
      <c r="F102" s="3" t="s">
        <v>233</v>
      </c>
      <c r="G102" s="3" t="s">
        <v>234</v>
      </c>
      <c r="H102" s="3">
        <v>210</v>
      </c>
      <c r="I102" s="3">
        <v>0.3</v>
      </c>
      <c r="J102" s="3">
        <v>15000</v>
      </c>
      <c r="K102" s="3">
        <v>3</v>
      </c>
      <c r="L102" s="3">
        <v>63</v>
      </c>
      <c r="M102" s="3">
        <v>9.9000000000000005E-2</v>
      </c>
      <c r="N102" s="3">
        <v>2</v>
      </c>
      <c r="O102" s="3" t="s">
        <v>235</v>
      </c>
    </row>
    <row r="103" spans="1:15" ht="20" customHeight="1" x14ac:dyDescent="0.35">
      <c r="A103" s="4" t="str">
        <f>HYPERLINK("https://www.ti.com/product/BZX84C39V", "BZX84C39V")</f>
        <v>BZX84C39V</v>
      </c>
      <c r="B103" s="3"/>
      <c r="C103" s="4" t="str">
        <f>HYPERLINK("https://www.ti.com/lit/gpn/BZX84C39V", "PDF datasheet")</f>
        <v>PDF datasheet</v>
      </c>
      <c r="D103" s="4" t="str">
        <f>HYPERLINK("https://www.ti.com/document-viewer/BZX84C39V/datasheet", "HTML datasheet")</f>
        <v>HTML datasheet</v>
      </c>
      <c r="E103" s="3">
        <v>1</v>
      </c>
      <c r="F103" s="3"/>
      <c r="G103" s="3" t="s">
        <v>236</v>
      </c>
      <c r="H103" s="3"/>
      <c r="I103" s="3">
        <v>25</v>
      </c>
      <c r="J103" s="3"/>
      <c r="K103" s="3"/>
      <c r="L103" s="3"/>
      <c r="M103" s="3">
        <v>0.03</v>
      </c>
      <c r="N103" s="3">
        <v>3</v>
      </c>
      <c r="O103" s="3" t="s">
        <v>237</v>
      </c>
    </row>
    <row r="104" spans="1:15" ht="20" customHeight="1" x14ac:dyDescent="0.35">
      <c r="A104" s="4" t="str">
        <f>HYPERLINK("https://www.ti.com/product/TSD36C-Q1", "TSD36C-Q1")</f>
        <v>TSD36C-Q1</v>
      </c>
      <c r="B104" s="3">
        <v>36</v>
      </c>
      <c r="C104" s="4" t="str">
        <f>HYPERLINK("https://www.ti.com/lit/gpn/TSD36C-Q1", "PDF datasheet")</f>
        <v>PDF datasheet</v>
      </c>
      <c r="D104" s="4" t="str">
        <f>HYPERLINK("https://www.ti.com/document-viewer/TSD36C-Q1/datasheet", "HTML datasheet")</f>
        <v>HTML datasheet</v>
      </c>
      <c r="E104" s="3">
        <v>1</v>
      </c>
      <c r="F104" s="3" t="s">
        <v>238</v>
      </c>
      <c r="G104" s="3" t="s">
        <v>239</v>
      </c>
      <c r="H104" s="3">
        <v>400</v>
      </c>
      <c r="I104" s="3">
        <v>4.2</v>
      </c>
      <c r="J104" s="3">
        <v>30000</v>
      </c>
      <c r="K104" s="3">
        <v>6.3</v>
      </c>
      <c r="L104" s="3">
        <v>57</v>
      </c>
      <c r="M104" s="3">
        <v>0.1</v>
      </c>
      <c r="N104" s="3">
        <v>2</v>
      </c>
      <c r="O104" s="3" t="s">
        <v>240</v>
      </c>
    </row>
    <row r="105" spans="1:15" ht="20" customHeight="1" x14ac:dyDescent="0.35">
      <c r="A105" s="4" t="str">
        <f>HYPERLINK("https://www.ti.com/product/BZX84C8V2", "BZX84C8V2")</f>
        <v>BZX84C8V2</v>
      </c>
      <c r="B105" s="3"/>
      <c r="C105" s="4" t="str">
        <f>HYPERLINK("https://www.ti.com/lit/gpn/BZX84C8V2", "PDF datasheet")</f>
        <v>PDF datasheet</v>
      </c>
      <c r="D105" s="4" t="str">
        <f>HYPERLINK("https://www.ti.com/document-viewer/BZX84C8V2/datasheet", "HTML datasheet")</f>
        <v>HTML datasheet</v>
      </c>
      <c r="E105" s="3">
        <v>1</v>
      </c>
      <c r="F105" s="3"/>
      <c r="G105" s="3" t="s">
        <v>241</v>
      </c>
      <c r="H105" s="3"/>
      <c r="I105" s="3">
        <v>80</v>
      </c>
      <c r="J105" s="3"/>
      <c r="K105" s="3"/>
      <c r="L105" s="3"/>
      <c r="M105" s="3">
        <v>0.03</v>
      </c>
      <c r="N105" s="3">
        <v>3</v>
      </c>
      <c r="O105" s="3" t="s">
        <v>242</v>
      </c>
    </row>
    <row r="106" spans="1:15" ht="20" customHeight="1" x14ac:dyDescent="0.35">
      <c r="A106" s="4" t="str">
        <f>HYPERLINK("https://www.ti.com/product/ESD701-Q1", "ESD701-Q1")</f>
        <v>ESD701-Q1</v>
      </c>
      <c r="B106" s="3">
        <v>24</v>
      </c>
      <c r="C106" s="4" t="str">
        <f>HYPERLINK("https://www.ti.com/lit/gpn/ESD701-Q1", "PDF datasheet")</f>
        <v>PDF datasheet</v>
      </c>
      <c r="D106" s="4" t="str">
        <f>HYPERLINK("https://www.ti.com/document-viewer/ESD701-Q1/datasheet", "HTML datasheet")</f>
        <v>HTML datasheet</v>
      </c>
      <c r="E106" s="3">
        <v>1</v>
      </c>
      <c r="F106" s="3" t="s">
        <v>243</v>
      </c>
      <c r="G106" s="3" t="s">
        <v>244</v>
      </c>
      <c r="H106" s="3">
        <v>210</v>
      </c>
      <c r="I106" s="3">
        <v>0.3</v>
      </c>
      <c r="J106" s="3">
        <v>15000</v>
      </c>
      <c r="K106" s="3">
        <v>3</v>
      </c>
      <c r="L106" s="3">
        <v>42</v>
      </c>
      <c r="M106" s="3">
        <v>0.11600000000000001</v>
      </c>
      <c r="N106" s="3">
        <v>2</v>
      </c>
      <c r="O106" s="3" t="s">
        <v>245</v>
      </c>
    </row>
    <row r="107" spans="1:15" ht="20" customHeight="1" x14ac:dyDescent="0.35">
      <c r="A107" s="4" t="str">
        <f>HYPERLINK("https://www.ti.com/product/MMBZ30VCL", "MMBZ30VCL")</f>
        <v>MMBZ30VCL</v>
      </c>
      <c r="B107" s="3">
        <v>24</v>
      </c>
      <c r="C107" s="4" t="str">
        <f>HYPERLINK("https://www.ti.com/lit/gpn/MMBZ30VCL", "PDF datasheet")</f>
        <v>PDF datasheet</v>
      </c>
      <c r="D107" s="4" t="str">
        <f>HYPERLINK("https://www.ti.com/document-viewer/MMBZ30VCL/datasheet", "HTML datasheet")</f>
        <v>HTML datasheet</v>
      </c>
      <c r="E107" s="3">
        <v>2</v>
      </c>
      <c r="F107" s="3" t="s">
        <v>246</v>
      </c>
      <c r="G107" s="3" t="s">
        <v>247</v>
      </c>
      <c r="H107" s="3">
        <v>210</v>
      </c>
      <c r="I107" s="3">
        <v>4.5</v>
      </c>
      <c r="J107" s="3">
        <v>30000</v>
      </c>
      <c r="K107" s="3">
        <v>5.7</v>
      </c>
      <c r="L107" s="3">
        <v>31</v>
      </c>
      <c r="M107" s="3">
        <v>5.8999999999999997E-2</v>
      </c>
      <c r="N107" s="3">
        <v>3</v>
      </c>
      <c r="O107" s="3" t="s">
        <v>248</v>
      </c>
    </row>
    <row r="108" spans="1:15" ht="20" customHeight="1" x14ac:dyDescent="0.35">
      <c r="A108" s="4" t="str">
        <f>HYPERLINK("https://www.ti.com/product/MMBZ30VCL-Q1", "MMBZ30VCL-Q1")</f>
        <v>MMBZ30VCL-Q1</v>
      </c>
      <c r="B108" s="3">
        <v>24</v>
      </c>
      <c r="C108" s="4" t="str">
        <f>HYPERLINK("https://www.ti.com/lit/gpn/MMBZ30VCL-Q1", "PDF datasheet")</f>
        <v>PDF datasheet</v>
      </c>
      <c r="D108" s="4" t="str">
        <f>HYPERLINK("https://www.ti.com/document-viewer/MMBZ30VCL-Q1/datasheet", "HTML datasheet")</f>
        <v>HTML datasheet</v>
      </c>
      <c r="E108" s="3">
        <v>2</v>
      </c>
      <c r="F108" s="3" t="s">
        <v>249</v>
      </c>
      <c r="G108" s="3" t="s">
        <v>250</v>
      </c>
      <c r="H108" s="3">
        <v>210</v>
      </c>
      <c r="I108" s="3">
        <v>4.5</v>
      </c>
      <c r="J108" s="3">
        <v>30000</v>
      </c>
      <c r="K108" s="3">
        <v>5.7</v>
      </c>
      <c r="L108" s="3">
        <v>31</v>
      </c>
      <c r="M108" s="3">
        <v>7.3999999999999996E-2</v>
      </c>
      <c r="N108" s="3">
        <v>3</v>
      </c>
      <c r="O108" s="3" t="s">
        <v>251</v>
      </c>
    </row>
    <row r="109" spans="1:15" ht="20" customHeight="1" x14ac:dyDescent="0.35">
      <c r="A109" s="4" t="str">
        <f>HYPERLINK("https://www.ti.com/product/ESD501-Q1", "ESD501-Q1")</f>
        <v>ESD501-Q1</v>
      </c>
      <c r="B109" s="3">
        <v>12</v>
      </c>
      <c r="C109" s="4" t="str">
        <f>HYPERLINK("https://www.ti.com/lit/gpn/ESD501-Q1", "PDF datasheet")</f>
        <v>PDF datasheet</v>
      </c>
      <c r="D109" s="4" t="str">
        <f>HYPERLINK("https://www.ti.com/document-viewer/ESD501-Q1/datasheet", "HTML datasheet")</f>
        <v>HTML datasheet</v>
      </c>
      <c r="E109" s="3">
        <v>1</v>
      </c>
      <c r="F109" s="3" t="s">
        <v>252</v>
      </c>
      <c r="G109" s="3" t="s">
        <v>253</v>
      </c>
      <c r="H109" s="3">
        <v>30</v>
      </c>
      <c r="I109" s="3">
        <v>0.3</v>
      </c>
      <c r="J109" s="3">
        <v>15000</v>
      </c>
      <c r="K109" s="3">
        <v>3</v>
      </c>
      <c r="L109" s="3">
        <v>24</v>
      </c>
      <c r="M109" s="3">
        <v>0.107</v>
      </c>
      <c r="N109" s="3">
        <v>2</v>
      </c>
      <c r="O109" s="3" t="s">
        <v>254</v>
      </c>
    </row>
    <row r="110" spans="1:15" ht="20" customHeight="1" x14ac:dyDescent="0.35">
      <c r="A110" s="4" t="str">
        <f>HYPERLINK("https://www.ti.com/product/ESD501", "ESD501")</f>
        <v>ESD501</v>
      </c>
      <c r="B110" s="3">
        <v>12</v>
      </c>
      <c r="C110" s="4" t="str">
        <f>HYPERLINK("https://www.ti.com/lit/gpn/ESD501", "PDF datasheet")</f>
        <v>PDF datasheet</v>
      </c>
      <c r="D110" s="4" t="str">
        <f>HYPERLINK("https://www.ti.com/document-viewer/ESD501/datasheet", "HTML datasheet")</f>
        <v>HTML datasheet</v>
      </c>
      <c r="E110" s="3">
        <v>1</v>
      </c>
      <c r="F110" s="3" t="s">
        <v>255</v>
      </c>
      <c r="G110" s="3" t="s">
        <v>256</v>
      </c>
      <c r="H110" s="3">
        <v>30</v>
      </c>
      <c r="I110" s="3">
        <v>0.3</v>
      </c>
      <c r="J110" s="3">
        <v>15000</v>
      </c>
      <c r="K110" s="3">
        <v>3</v>
      </c>
      <c r="L110" s="3">
        <v>24</v>
      </c>
      <c r="M110" s="3">
        <v>8.8999999999999996E-2</v>
      </c>
      <c r="N110" s="3">
        <v>2</v>
      </c>
      <c r="O110" s="3" t="s">
        <v>257</v>
      </c>
    </row>
    <row r="111" spans="1:15" ht="20" customHeight="1" x14ac:dyDescent="0.35">
      <c r="A111" s="4" t="str">
        <f>HYPERLINK("https://www.ti.com/product/ESD701", "ESD701")</f>
        <v>ESD701</v>
      </c>
      <c r="B111" s="3">
        <v>24</v>
      </c>
      <c r="C111" s="4" t="str">
        <f>HYPERLINK("https://www.ti.com/lit/gpn/ESD701", "PDF datasheet")</f>
        <v>PDF datasheet</v>
      </c>
      <c r="D111" s="4" t="str">
        <f>HYPERLINK("https://www.ti.com/document-viewer/ESD701/datasheet", "HTML datasheet")</f>
        <v>HTML datasheet</v>
      </c>
      <c r="E111" s="3">
        <v>1</v>
      </c>
      <c r="F111" s="3" t="s">
        <v>258</v>
      </c>
      <c r="G111" s="3" t="s">
        <v>259</v>
      </c>
      <c r="H111" s="3">
        <v>210</v>
      </c>
      <c r="I111" s="3">
        <v>0.3</v>
      </c>
      <c r="J111" s="3">
        <v>15000</v>
      </c>
      <c r="K111" s="3">
        <v>3</v>
      </c>
      <c r="L111" s="3">
        <v>42</v>
      </c>
      <c r="M111" s="3">
        <v>9.6000000000000002E-2</v>
      </c>
      <c r="N111" s="3">
        <v>2</v>
      </c>
      <c r="O111" s="3" t="s">
        <v>260</v>
      </c>
    </row>
    <row r="112" spans="1:15" ht="20" customHeight="1" x14ac:dyDescent="0.35">
      <c r="A112" s="4" t="str">
        <f>HYPERLINK("https://www.ti.com/product/TSD12C", "TSD12C")</f>
        <v>TSD12C</v>
      </c>
      <c r="B112" s="3">
        <v>12</v>
      </c>
      <c r="C112" s="4" t="str">
        <f>HYPERLINK("https://www.ti.com/lit/gpn/TSD12C", "PDF datasheet")</f>
        <v>PDF datasheet</v>
      </c>
      <c r="D112" s="4" t="str">
        <f>HYPERLINK("https://www.ti.com/document-viewer/TSD12C/datasheet", "HTML datasheet")</f>
        <v>HTML datasheet</v>
      </c>
      <c r="E112" s="3">
        <v>1</v>
      </c>
      <c r="F112" s="3" t="s">
        <v>261</v>
      </c>
      <c r="G112" s="3" t="s">
        <v>262</v>
      </c>
      <c r="H112" s="3">
        <v>390</v>
      </c>
      <c r="I112" s="3">
        <v>6.5</v>
      </c>
      <c r="J112" s="3">
        <v>30000</v>
      </c>
      <c r="K112" s="3">
        <v>15</v>
      </c>
      <c r="L112" s="3">
        <v>19.399999999999999</v>
      </c>
      <c r="M112" s="3">
        <v>8.3000000000000004E-2</v>
      </c>
      <c r="N112" s="3">
        <v>2</v>
      </c>
      <c r="O112" s="3" t="s">
        <v>263</v>
      </c>
    </row>
    <row r="113" spans="1:15" ht="20" customHeight="1" x14ac:dyDescent="0.35">
      <c r="A113" s="4" t="str">
        <f>HYPERLINK("https://www.ti.com/product/TSD12C-Q1", "TSD12C-Q1")</f>
        <v>TSD12C-Q1</v>
      </c>
      <c r="B113" s="3">
        <v>12</v>
      </c>
      <c r="C113" s="4" t="str">
        <f>HYPERLINK("https://www.ti.com/lit/gpn/TSD12C-Q1", "PDF datasheet")</f>
        <v>PDF datasheet</v>
      </c>
      <c r="D113" s="4" t="str">
        <f>HYPERLINK("https://www.ti.com/document-viewer/TSD12C-Q1/datasheet", "HTML datasheet")</f>
        <v>HTML datasheet</v>
      </c>
      <c r="E113" s="3">
        <v>1</v>
      </c>
      <c r="F113" s="3" t="s">
        <v>264</v>
      </c>
      <c r="G113" s="3" t="s">
        <v>265</v>
      </c>
      <c r="H113" s="3">
        <v>390</v>
      </c>
      <c r="I113" s="3">
        <v>6.5</v>
      </c>
      <c r="J113" s="3">
        <v>30000</v>
      </c>
      <c r="K113" s="3">
        <v>15</v>
      </c>
      <c r="L113" s="3">
        <v>19.399999999999999</v>
      </c>
      <c r="M113" s="3">
        <v>0.1</v>
      </c>
      <c r="N113" s="3">
        <v>2</v>
      </c>
      <c r="O113" s="3" t="s">
        <v>266</v>
      </c>
    </row>
    <row r="114" spans="1:15" ht="20" customHeight="1" x14ac:dyDescent="0.35">
      <c r="A114" s="4" t="str">
        <f>HYPERLINK("https://www.ti.com/product/TSD15C", "TSD15C")</f>
        <v>TSD15C</v>
      </c>
      <c r="B114" s="3">
        <v>15</v>
      </c>
      <c r="C114" s="4" t="str">
        <f>HYPERLINK("https://www.ti.com/lit/gpn/TSD15C", "PDF datasheet")</f>
        <v>PDF datasheet</v>
      </c>
      <c r="D114" s="4" t="str">
        <f>HYPERLINK("https://www.ti.com/document-viewer/TSD15C/datasheet", "HTML datasheet")</f>
        <v>HTML datasheet</v>
      </c>
      <c r="E114" s="3">
        <v>1</v>
      </c>
      <c r="F114" s="3" t="s">
        <v>267</v>
      </c>
      <c r="G114" s="3" t="s">
        <v>268</v>
      </c>
      <c r="H114" s="3">
        <v>390</v>
      </c>
      <c r="I114" s="3">
        <v>6.7</v>
      </c>
      <c r="J114" s="3">
        <v>30000</v>
      </c>
      <c r="K114" s="3">
        <v>12</v>
      </c>
      <c r="L114" s="3">
        <v>25</v>
      </c>
      <c r="M114" s="3">
        <v>8.3000000000000004E-2</v>
      </c>
      <c r="N114" s="3">
        <v>2</v>
      </c>
      <c r="O114" s="3" t="s">
        <v>269</v>
      </c>
    </row>
    <row r="115" spans="1:15" ht="20" customHeight="1" x14ac:dyDescent="0.35">
      <c r="A115" s="4" t="str">
        <f>HYPERLINK("https://www.ti.com/product/TSD15C-Q1", "TSD15C-Q1")</f>
        <v>TSD15C-Q1</v>
      </c>
      <c r="B115" s="3">
        <v>15</v>
      </c>
      <c r="C115" s="4" t="str">
        <f>HYPERLINK("https://www.ti.com/lit/gpn/TSD15C-Q1", "PDF datasheet")</f>
        <v>PDF datasheet</v>
      </c>
      <c r="D115" s="4" t="str">
        <f>HYPERLINK("https://www.ti.com/document-viewer/TSD15C-Q1/datasheet", "HTML datasheet")</f>
        <v>HTML datasheet</v>
      </c>
      <c r="E115" s="3">
        <v>1</v>
      </c>
      <c r="F115" s="3" t="s">
        <v>270</v>
      </c>
      <c r="G115" s="3" t="s">
        <v>271</v>
      </c>
      <c r="H115" s="3">
        <v>390</v>
      </c>
      <c r="I115" s="3">
        <v>6.7</v>
      </c>
      <c r="J115" s="3">
        <v>30000</v>
      </c>
      <c r="K115" s="3">
        <v>12</v>
      </c>
      <c r="L115" s="3">
        <v>25</v>
      </c>
      <c r="M115" s="3">
        <v>0.1</v>
      </c>
      <c r="N115" s="3">
        <v>2</v>
      </c>
      <c r="O115" s="3" t="s">
        <v>272</v>
      </c>
    </row>
    <row r="116" spans="1:15" ht="20" customHeight="1" x14ac:dyDescent="0.35">
      <c r="A116" s="4" t="str">
        <f>HYPERLINK("https://www.ti.com/product/TSD18C", "TSD18C")</f>
        <v>TSD18C</v>
      </c>
      <c r="B116" s="3">
        <v>18</v>
      </c>
      <c r="C116" s="4" t="str">
        <f>HYPERLINK("https://www.ti.com/lit/gpn/TSD18C", "PDF datasheet")</f>
        <v>PDF datasheet</v>
      </c>
      <c r="D116" s="4" t="str">
        <f>HYPERLINK("https://www.ti.com/document-viewer/TSD18C/datasheet", "HTML datasheet")</f>
        <v>HTML datasheet</v>
      </c>
      <c r="E116" s="3">
        <v>1</v>
      </c>
      <c r="F116" s="3" t="s">
        <v>273</v>
      </c>
      <c r="G116" s="3" t="s">
        <v>274</v>
      </c>
      <c r="H116" s="3">
        <v>390</v>
      </c>
      <c r="I116" s="3">
        <v>6.7</v>
      </c>
      <c r="J116" s="3">
        <v>30000</v>
      </c>
      <c r="K116" s="3">
        <v>12</v>
      </c>
      <c r="L116" s="3">
        <v>25</v>
      </c>
      <c r="M116" s="3">
        <v>8.3000000000000004E-2</v>
      </c>
      <c r="N116" s="3">
        <v>2</v>
      </c>
      <c r="O116" s="3" t="s">
        <v>275</v>
      </c>
    </row>
    <row r="117" spans="1:15" ht="20" customHeight="1" x14ac:dyDescent="0.35">
      <c r="A117" s="4" t="str">
        <f>HYPERLINK("https://www.ti.com/product/TSD18C-Q1", "TSD18C-Q1")</f>
        <v>TSD18C-Q1</v>
      </c>
      <c r="B117" s="3">
        <v>18</v>
      </c>
      <c r="C117" s="4" t="str">
        <f>HYPERLINK("https://www.ti.com/lit/gpn/TSD18C-Q1", "PDF datasheet")</f>
        <v>PDF datasheet</v>
      </c>
      <c r="D117" s="4" t="str">
        <f>HYPERLINK("https://www.ti.com/document-viewer/TSD18C-Q1/datasheet", "HTML datasheet")</f>
        <v>HTML datasheet</v>
      </c>
      <c r="E117" s="3">
        <v>1</v>
      </c>
      <c r="F117" s="3" t="s">
        <v>276</v>
      </c>
      <c r="G117" s="3" t="s">
        <v>277</v>
      </c>
      <c r="H117" s="3">
        <v>390</v>
      </c>
      <c r="I117" s="3">
        <v>6.7</v>
      </c>
      <c r="J117" s="3">
        <v>30000</v>
      </c>
      <c r="K117" s="3">
        <v>12</v>
      </c>
      <c r="L117" s="3">
        <v>25</v>
      </c>
      <c r="M117" s="3">
        <v>0.1</v>
      </c>
      <c r="N117" s="3">
        <v>2</v>
      </c>
      <c r="O117" s="3" t="s">
        <v>278</v>
      </c>
    </row>
    <row r="118" spans="1:15" ht="20" customHeight="1" x14ac:dyDescent="0.35">
      <c r="A118" s="4" t="str">
        <f>HYPERLINK("https://www.ti.com/product/TSD24C", "TSD24C")</f>
        <v>TSD24C</v>
      </c>
      <c r="B118" s="3">
        <v>24</v>
      </c>
      <c r="C118" s="4" t="str">
        <f>HYPERLINK("https://www.ti.com/lit/gpn/TSD24C", "PDF datasheet")</f>
        <v>PDF datasheet</v>
      </c>
      <c r="D118" s="4" t="str">
        <f>HYPERLINK("https://www.ti.com/document-viewer/TSD24C/datasheet", "HTML datasheet")</f>
        <v>HTML datasheet</v>
      </c>
      <c r="E118" s="3">
        <v>1</v>
      </c>
      <c r="F118" s="3" t="s">
        <v>279</v>
      </c>
      <c r="G118" s="3" t="s">
        <v>280</v>
      </c>
      <c r="H118" s="3">
        <v>400</v>
      </c>
      <c r="I118" s="3">
        <v>4.3</v>
      </c>
      <c r="J118" s="3">
        <v>30000</v>
      </c>
      <c r="K118" s="3">
        <v>9</v>
      </c>
      <c r="L118" s="3">
        <v>36</v>
      </c>
      <c r="M118" s="3">
        <v>8.3000000000000004E-2</v>
      </c>
      <c r="N118" s="3">
        <v>2</v>
      </c>
      <c r="O118" s="3" t="s">
        <v>281</v>
      </c>
    </row>
    <row r="119" spans="1:15" ht="20" customHeight="1" x14ac:dyDescent="0.35">
      <c r="A119" s="4" t="str">
        <f>HYPERLINK("https://www.ti.com/product/TSD24C-Q1", "TSD24C-Q1")</f>
        <v>TSD24C-Q1</v>
      </c>
      <c r="B119" s="3">
        <v>24</v>
      </c>
      <c r="C119" s="4" t="str">
        <f>HYPERLINK("https://www.ti.com/lit/gpn/TSD24C-Q1", "PDF datasheet")</f>
        <v>PDF datasheet</v>
      </c>
      <c r="D119" s="4" t="str">
        <f>HYPERLINK("https://www.ti.com/document-viewer/TSD24C-Q1/datasheet", "HTML datasheet")</f>
        <v>HTML datasheet</v>
      </c>
      <c r="E119" s="3">
        <v>1</v>
      </c>
      <c r="F119" s="3" t="s">
        <v>282</v>
      </c>
      <c r="G119" s="3" t="s">
        <v>283</v>
      </c>
      <c r="H119" s="3">
        <v>400</v>
      </c>
      <c r="I119" s="3">
        <v>4.3</v>
      </c>
      <c r="J119" s="3">
        <v>30000</v>
      </c>
      <c r="K119" s="3">
        <v>9</v>
      </c>
      <c r="L119" s="3">
        <v>36</v>
      </c>
      <c r="M119" s="3">
        <v>0.1</v>
      </c>
      <c r="N119" s="3">
        <v>2</v>
      </c>
      <c r="O119" s="3" t="s">
        <v>284</v>
      </c>
    </row>
    <row r="120" spans="1:15" ht="20" customHeight="1" x14ac:dyDescent="0.35">
      <c r="A120" s="4" t="str">
        <f>HYPERLINK("https://www.ti.com/product/ESD601", "ESD601")</f>
        <v>ESD601</v>
      </c>
      <c r="B120" s="3">
        <v>18</v>
      </c>
      <c r="C120" s="4" t="str">
        <f>HYPERLINK("https://www.ti.com/lit/gpn/ESD601", "PDF datasheet")</f>
        <v>PDF datasheet</v>
      </c>
      <c r="D120" s="4" t="str">
        <f>HYPERLINK("https://www.ti.com/document-viewer/ESD601/datasheet", "HTML datasheet")</f>
        <v>HTML datasheet</v>
      </c>
      <c r="E120" s="3">
        <v>1</v>
      </c>
      <c r="F120" s="3" t="s">
        <v>285</v>
      </c>
      <c r="G120" s="3" t="s">
        <v>286</v>
      </c>
      <c r="H120" s="3">
        <v>27</v>
      </c>
      <c r="I120" s="3">
        <v>0.3</v>
      </c>
      <c r="J120" s="3">
        <v>15000</v>
      </c>
      <c r="K120" s="3">
        <v>2.7</v>
      </c>
      <c r="L120" s="3">
        <v>33</v>
      </c>
      <c r="M120" s="3">
        <v>9.4E-2</v>
      </c>
      <c r="N120" s="3">
        <v>2</v>
      </c>
      <c r="O120" s="3" t="s">
        <v>287</v>
      </c>
    </row>
    <row r="121" spans="1:15" ht="20" customHeight="1" x14ac:dyDescent="0.35">
      <c r="A121" s="4" t="str">
        <f>HYPERLINK("https://www.ti.com/product/ESD601-Q1", "ESD601-Q1")</f>
        <v>ESD601-Q1</v>
      </c>
      <c r="B121" s="3">
        <v>18</v>
      </c>
      <c r="C121" s="4" t="str">
        <f>HYPERLINK("https://www.ti.com/lit/gpn/ESD601-Q1", "PDF datasheet")</f>
        <v>PDF datasheet</v>
      </c>
      <c r="D121" s="4" t="str">
        <f>HYPERLINK("https://www.ti.com/document-viewer/ESD601-Q1/datasheet", "HTML datasheet")</f>
        <v>HTML datasheet</v>
      </c>
      <c r="E121" s="3">
        <v>1</v>
      </c>
      <c r="F121" s="3" t="s">
        <v>288</v>
      </c>
      <c r="G121" s="3" t="s">
        <v>289</v>
      </c>
      <c r="H121" s="3">
        <v>30</v>
      </c>
      <c r="I121" s="3">
        <v>0.3</v>
      </c>
      <c r="J121" s="3">
        <v>15000</v>
      </c>
      <c r="K121" s="3">
        <v>2.7</v>
      </c>
      <c r="L121" s="3">
        <v>33</v>
      </c>
      <c r="M121" s="3">
        <v>0.113</v>
      </c>
      <c r="N121" s="3">
        <v>2</v>
      </c>
      <c r="O121" s="3" t="s">
        <v>290</v>
      </c>
    </row>
    <row r="122" spans="1:15" ht="20" customHeight="1" x14ac:dyDescent="0.35">
      <c r="A122" s="4" t="str">
        <f>HYPERLINK("https://www.ti.com/product/ESD851", "ESD851")</f>
        <v>ESD851</v>
      </c>
      <c r="B122" s="3">
        <v>36</v>
      </c>
      <c r="C122" s="4" t="str">
        <f>HYPERLINK("https://www.ti.com/lit/gpn/ESD851", "PDF datasheet")</f>
        <v>PDF datasheet</v>
      </c>
      <c r="D122" s="4" t="str">
        <f>HYPERLINK("https://www.ti.com/document-viewer/ESD851/datasheet", "HTML datasheet")</f>
        <v>HTML datasheet</v>
      </c>
      <c r="E122" s="3">
        <v>1</v>
      </c>
      <c r="F122" s="3" t="s">
        <v>291</v>
      </c>
      <c r="G122" s="3" t="s">
        <v>292</v>
      </c>
      <c r="H122" s="3">
        <v>400</v>
      </c>
      <c r="I122" s="3">
        <v>4.2</v>
      </c>
      <c r="J122" s="3">
        <v>30000</v>
      </c>
      <c r="K122" s="3">
        <v>6.3</v>
      </c>
      <c r="L122" s="3">
        <v>57</v>
      </c>
      <c r="M122" s="3">
        <v>6.5000000000000002E-2</v>
      </c>
      <c r="N122" s="3">
        <v>2</v>
      </c>
      <c r="O122" s="3" t="s">
        <v>293</v>
      </c>
    </row>
    <row r="123" spans="1:15" ht="20" customHeight="1" x14ac:dyDescent="0.35">
      <c r="A123" s="4" t="str">
        <f>HYPERLINK("https://www.ti.com/product/TSM36CA", "TSM36CA")</f>
        <v>TSM36CA</v>
      </c>
      <c r="B123" s="3">
        <v>36</v>
      </c>
      <c r="C123" s="4" t="str">
        <f>HYPERLINK("https://www.ti.com/lit/gpn/TSM36CA", "PDF datasheet")</f>
        <v>PDF datasheet</v>
      </c>
      <c r="D123" s="4" t="str">
        <f>HYPERLINK("https://www.ti.com/document-viewer/TSM36CA/datasheet", "HTML datasheet")</f>
        <v>HTML datasheet</v>
      </c>
      <c r="E123" s="3">
        <v>1</v>
      </c>
      <c r="F123" s="3" t="s">
        <v>294</v>
      </c>
      <c r="G123" s="3" t="s">
        <v>295</v>
      </c>
      <c r="H123" s="3">
        <v>1100</v>
      </c>
      <c r="I123" s="3">
        <v>15</v>
      </c>
      <c r="J123" s="3">
        <v>30000</v>
      </c>
      <c r="K123" s="3">
        <v>20</v>
      </c>
      <c r="L123" s="3">
        <v>58</v>
      </c>
      <c r="M123" s="3">
        <v>9.9000000000000005E-2</v>
      </c>
      <c r="N123" s="3">
        <v>3</v>
      </c>
      <c r="O123" s="3" t="s">
        <v>296</v>
      </c>
    </row>
    <row r="124" spans="1:15" ht="20" customHeight="1" x14ac:dyDescent="0.35">
      <c r="A124" s="4" t="str">
        <f>HYPERLINK("https://www.ti.com/product/TSD36C", "TSD36C")</f>
        <v>TSD36C</v>
      </c>
      <c r="B124" s="3">
        <v>36</v>
      </c>
      <c r="C124" s="4" t="str">
        <f>HYPERLINK("https://www.ti.com/lit/gpn/TSD36C", "PDF datasheet")</f>
        <v>PDF datasheet</v>
      </c>
      <c r="D124" s="4" t="str">
        <f>HYPERLINK("https://www.ti.com/document-viewer/TSD36C/datasheet", "HTML datasheet")</f>
        <v>HTML datasheet</v>
      </c>
      <c r="E124" s="3">
        <v>1</v>
      </c>
      <c r="F124" s="3" t="s">
        <v>297</v>
      </c>
      <c r="G124" s="3" t="s">
        <v>298</v>
      </c>
      <c r="H124" s="3">
        <v>400</v>
      </c>
      <c r="I124" s="3">
        <v>4.3</v>
      </c>
      <c r="J124" s="3">
        <v>30000</v>
      </c>
      <c r="K124" s="3">
        <v>6.3</v>
      </c>
      <c r="L124" s="3">
        <v>57</v>
      </c>
      <c r="M124" s="3">
        <v>8.3000000000000004E-2</v>
      </c>
      <c r="N124" s="3">
        <v>2</v>
      </c>
      <c r="O124" s="3" t="s">
        <v>299</v>
      </c>
    </row>
    <row r="125" spans="1:15" ht="20" customHeight="1" x14ac:dyDescent="0.35">
      <c r="A125" s="4" t="str">
        <f>HYPERLINK("https://www.ti.com/product/ESDS452-Q1", "ESDS452-Q1")</f>
        <v>ESDS452-Q1</v>
      </c>
      <c r="B125" s="3">
        <v>5.5</v>
      </c>
      <c r="C125" s="4" t="str">
        <f>HYPERLINK("https://www.ti.com/lit/gpn/ESDS452-Q1", "PDF datasheet")</f>
        <v>PDF datasheet</v>
      </c>
      <c r="D125" s="4" t="str">
        <f>HYPERLINK("https://www.ti.com/document-viewer/ESDS452-Q1/datasheet", "HTML datasheet")</f>
        <v>HTML datasheet</v>
      </c>
      <c r="E125" s="3">
        <v>2</v>
      </c>
      <c r="F125" s="3" t="s">
        <v>300</v>
      </c>
      <c r="G125" s="3" t="s">
        <v>301</v>
      </c>
      <c r="H125" s="3">
        <v>172</v>
      </c>
      <c r="I125" s="3">
        <v>3</v>
      </c>
      <c r="J125" s="3">
        <v>30000</v>
      </c>
      <c r="K125" s="3">
        <v>18</v>
      </c>
      <c r="L125" s="3">
        <v>8</v>
      </c>
      <c r="M125" s="3">
        <v>9.7000000000000003E-2</v>
      </c>
      <c r="N125" s="3">
        <v>3</v>
      </c>
      <c r="O125" s="3" t="s">
        <v>302</v>
      </c>
    </row>
    <row r="126" spans="1:15" ht="20" customHeight="1" x14ac:dyDescent="0.35">
      <c r="A126" s="4" t="str">
        <f>HYPERLINK("https://www.ti.com/product/ESDS452", "ESDS452")</f>
        <v>ESDS452</v>
      </c>
      <c r="B126" s="3">
        <v>5.5</v>
      </c>
      <c r="C126" s="4" t="str">
        <f>HYPERLINK("https://www.ti.com/lit/gpn/ESDS452", "PDF datasheet")</f>
        <v>PDF datasheet</v>
      </c>
      <c r="D126" s="4" t="str">
        <f>HYPERLINK("https://www.ti.com/document-viewer/ESDS452/datasheet", "HTML datasheet")</f>
        <v>HTML datasheet</v>
      </c>
      <c r="E126" s="3">
        <v>2</v>
      </c>
      <c r="F126" s="3" t="s">
        <v>303</v>
      </c>
      <c r="G126" s="3" t="s">
        <v>304</v>
      </c>
      <c r="H126" s="3">
        <v>172</v>
      </c>
      <c r="I126" s="3">
        <v>3</v>
      </c>
      <c r="J126" s="3">
        <v>30000</v>
      </c>
      <c r="K126" s="3">
        <v>18</v>
      </c>
      <c r="L126" s="3">
        <v>8</v>
      </c>
      <c r="M126" s="3">
        <v>7.5999999999999998E-2</v>
      </c>
      <c r="N126" s="3">
        <v>3</v>
      </c>
      <c r="O126" s="3" t="s">
        <v>305</v>
      </c>
    </row>
    <row r="127" spans="1:15" ht="20" customHeight="1" x14ac:dyDescent="0.35">
      <c r="A127" s="4" t="str">
        <f>HYPERLINK("https://www.ti.com/product/ESD652", "ESD652")</f>
        <v>ESD652</v>
      </c>
      <c r="B127" s="3">
        <v>18</v>
      </c>
      <c r="C127" s="4" t="str">
        <f>HYPERLINK("https://www.ti.com/lit/gpn/ESD652", "PDF datasheet")</f>
        <v>PDF datasheet</v>
      </c>
      <c r="D127" s="4" t="str">
        <f>HYPERLINK("https://www.ti.com/document-viewer/ESD652/datasheet", "HTML datasheet")</f>
        <v>HTML datasheet</v>
      </c>
      <c r="E127" s="3">
        <v>2</v>
      </c>
      <c r="F127" s="3" t="s">
        <v>306</v>
      </c>
      <c r="G127" s="3" t="s">
        <v>307</v>
      </c>
      <c r="H127" s="3">
        <v>137.5</v>
      </c>
      <c r="I127" s="3">
        <v>4</v>
      </c>
      <c r="J127" s="3">
        <v>30000</v>
      </c>
      <c r="K127" s="3">
        <v>5.5</v>
      </c>
      <c r="L127" s="3">
        <v>22</v>
      </c>
      <c r="M127" s="3">
        <v>7.4999999999999997E-2</v>
      </c>
      <c r="N127" s="3">
        <v>3</v>
      </c>
      <c r="O127" s="3" t="s">
        <v>308</v>
      </c>
    </row>
    <row r="128" spans="1:15" ht="20" customHeight="1" x14ac:dyDescent="0.35">
      <c r="A128" s="4" t="str">
        <f>HYPERLINK("https://www.ti.com/product/ESD652-Q1", "ESD652-Q1")</f>
        <v>ESD652-Q1</v>
      </c>
      <c r="B128" s="3">
        <v>18</v>
      </c>
      <c r="C128" s="4" t="str">
        <f>HYPERLINK("https://www.ti.com/lit/gpn/ESD652-Q1", "PDF datasheet")</f>
        <v>PDF datasheet</v>
      </c>
      <c r="D128" s="4" t="str">
        <f>HYPERLINK("https://www.ti.com/document-viewer/ESD652-Q1/datasheet", "HTML datasheet")</f>
        <v>HTML datasheet</v>
      </c>
      <c r="E128" s="3">
        <v>2</v>
      </c>
      <c r="F128" s="3" t="s">
        <v>309</v>
      </c>
      <c r="G128" s="3" t="s">
        <v>310</v>
      </c>
      <c r="H128" s="3">
        <v>133</v>
      </c>
      <c r="I128" s="3">
        <v>4</v>
      </c>
      <c r="J128" s="3">
        <v>30000</v>
      </c>
      <c r="K128" s="3">
        <v>5.5</v>
      </c>
      <c r="L128" s="3">
        <v>23</v>
      </c>
      <c r="M128" s="3">
        <v>0.109</v>
      </c>
      <c r="N128" s="3">
        <v>3</v>
      </c>
      <c r="O128" s="3" t="s">
        <v>311</v>
      </c>
    </row>
    <row r="129" spans="1:15" ht="20" customHeight="1" x14ac:dyDescent="0.35">
      <c r="A129" s="4" t="str">
        <f>HYPERLINK("https://www.ti.com/product/ESD2CAN36-Q1", "ESD2CAN36-Q1")</f>
        <v>ESD2CAN36-Q1</v>
      </c>
      <c r="B129" s="3">
        <v>36</v>
      </c>
      <c r="C129" s="4" t="str">
        <f>HYPERLINK("https://www.ti.com/lit/gpn/ESD2CAN36-Q1", "PDF datasheet")</f>
        <v>PDF datasheet</v>
      </c>
      <c r="D129" s="4" t="str">
        <f>HYPERLINK("https://www.ti.com/document-viewer/ESD2CAN36-Q1/datasheet", "HTML datasheet")</f>
        <v>HTML datasheet</v>
      </c>
      <c r="E129" s="3">
        <v>2</v>
      </c>
      <c r="F129" s="3" t="s">
        <v>312</v>
      </c>
      <c r="G129" s="3" t="s">
        <v>313</v>
      </c>
      <c r="H129" s="3">
        <v>210</v>
      </c>
      <c r="I129" s="3">
        <v>2.8</v>
      </c>
      <c r="J129" s="3">
        <v>25000</v>
      </c>
      <c r="K129" s="3">
        <v>4.3</v>
      </c>
      <c r="L129" s="3">
        <v>63</v>
      </c>
      <c r="M129" s="3">
        <v>9.6000000000000002E-2</v>
      </c>
      <c r="N129" s="3">
        <v>3</v>
      </c>
      <c r="O129" s="3" t="s">
        <v>314</v>
      </c>
    </row>
    <row r="130" spans="1:15" ht="20" customHeight="1" x14ac:dyDescent="0.35">
      <c r="A130" s="4" t="str">
        <f>HYPERLINK("https://www.ti.com/product/ESD2CANFD36-Q1", "ESD2CANFD36-Q1")</f>
        <v>ESD2CANFD36-Q1</v>
      </c>
      <c r="B130" s="3">
        <v>36</v>
      </c>
      <c r="C130" s="4" t="str">
        <f>HYPERLINK("https://www.ti.com/lit/gpn/ESD2CANFD36-Q1", "PDF datasheet")</f>
        <v>PDF datasheet</v>
      </c>
      <c r="D130" s="4" t="str">
        <f>HYPERLINK("https://www.ti.com/document-viewer/ESD2CANFD36-Q1/datasheet", "HTML datasheet")</f>
        <v>HTML datasheet</v>
      </c>
      <c r="E130" s="3">
        <v>2</v>
      </c>
      <c r="F130" s="3" t="s">
        <v>315</v>
      </c>
      <c r="G130" s="3" t="s">
        <v>316</v>
      </c>
      <c r="H130" s="3">
        <v>170</v>
      </c>
      <c r="I130" s="3">
        <v>2.8</v>
      </c>
      <c r="J130" s="3">
        <v>18000</v>
      </c>
      <c r="K130" s="3">
        <v>3</v>
      </c>
      <c r="L130" s="3">
        <v>64</v>
      </c>
      <c r="M130" s="3">
        <v>9.2999999999999999E-2</v>
      </c>
      <c r="N130" s="3">
        <v>3</v>
      </c>
      <c r="O130" s="3" t="s">
        <v>317</v>
      </c>
    </row>
    <row r="131" spans="1:15" ht="20" customHeight="1" x14ac:dyDescent="0.35">
      <c r="A131" s="4" t="str">
        <f>HYPERLINK("https://www.ti.com/product/ESD562", "ESD562")</f>
        <v>ESD562</v>
      </c>
      <c r="B131" s="3">
        <v>12</v>
      </c>
      <c r="C131" s="4" t="str">
        <f>HYPERLINK("https://www.ti.com/lit/gpn/ESD562", "PDF datasheet")</f>
        <v>PDF datasheet</v>
      </c>
      <c r="D131" s="4" t="str">
        <f>HYPERLINK("https://www.ti.com/document-viewer/ESD562/datasheet", "HTML datasheet")</f>
        <v>HTML datasheet</v>
      </c>
      <c r="E131" s="3">
        <v>2</v>
      </c>
      <c r="F131" s="3" t="s">
        <v>318</v>
      </c>
      <c r="G131" s="3" t="s">
        <v>319</v>
      </c>
      <c r="H131" s="3">
        <v>75</v>
      </c>
      <c r="I131" s="3">
        <v>1.5</v>
      </c>
      <c r="J131" s="3">
        <v>22000</v>
      </c>
      <c r="K131" s="3">
        <v>3</v>
      </c>
      <c r="L131" s="3">
        <v>20</v>
      </c>
      <c r="M131" s="3">
        <v>5.7000000000000002E-2</v>
      </c>
      <c r="N131" s="3">
        <v>3</v>
      </c>
      <c r="O131" s="3" t="s">
        <v>320</v>
      </c>
    </row>
    <row r="132" spans="1:15" ht="20" customHeight="1" x14ac:dyDescent="0.35">
      <c r="A132" s="4" t="str">
        <f>HYPERLINK("https://www.ti.com/product/ESDS552", "ESDS552")</f>
        <v>ESDS552</v>
      </c>
      <c r="B132" s="3">
        <v>12</v>
      </c>
      <c r="C132" s="4" t="str">
        <f>HYPERLINK("https://www.ti.com/lit/gpn/ESDS552", "PDF datasheet")</f>
        <v>PDF datasheet</v>
      </c>
      <c r="D132" s="4" t="str">
        <f>HYPERLINK("https://www.ti.com/document-viewer/ESDS552/datasheet", "HTML datasheet")</f>
        <v>HTML datasheet</v>
      </c>
      <c r="E132" s="3">
        <v>2</v>
      </c>
      <c r="F132" s="3" t="s">
        <v>321</v>
      </c>
      <c r="G132" s="3" t="s">
        <v>322</v>
      </c>
      <c r="H132" s="3">
        <v>600</v>
      </c>
      <c r="I132" s="3">
        <v>9.5</v>
      </c>
      <c r="J132" s="3">
        <v>30000</v>
      </c>
      <c r="K132" s="3">
        <v>25</v>
      </c>
      <c r="L132" s="3">
        <v>23.8</v>
      </c>
      <c r="M132" s="3">
        <v>9.8000000000000004E-2</v>
      </c>
      <c r="N132" s="3">
        <v>3</v>
      </c>
      <c r="O132" s="3" t="s">
        <v>323</v>
      </c>
    </row>
    <row r="133" spans="1:15" ht="20" customHeight="1" x14ac:dyDescent="0.35">
      <c r="A133" s="4" t="str">
        <f>HYPERLINK("https://www.ti.com/product/ESDS311", "ESDS311")</f>
        <v>ESDS311</v>
      </c>
      <c r="B133" s="3">
        <v>3.6</v>
      </c>
      <c r="C133" s="4" t="str">
        <f>HYPERLINK("https://www.ti.com/lit/gpn/ESDS311", "PDF datasheet")</f>
        <v>PDF datasheet</v>
      </c>
      <c r="D133" s="4" t="str">
        <f>HYPERLINK("https://www.ti.com/document-viewer/ESDS311/datasheet", "HTML datasheet")</f>
        <v>HTML datasheet</v>
      </c>
      <c r="E133" s="3">
        <v>1</v>
      </c>
      <c r="F133" s="3" t="s">
        <v>324</v>
      </c>
      <c r="G133" s="3" t="s">
        <v>325</v>
      </c>
      <c r="H133" s="3">
        <v>170</v>
      </c>
      <c r="I133" s="3">
        <v>4.5</v>
      </c>
      <c r="J133" s="3">
        <v>30000</v>
      </c>
      <c r="K133" s="3">
        <v>25</v>
      </c>
      <c r="L133" s="3">
        <v>6.5</v>
      </c>
      <c r="M133" s="3">
        <v>9.6000000000000002E-2</v>
      </c>
      <c r="N133" s="3">
        <v>2</v>
      </c>
      <c r="O133" s="3" t="s">
        <v>326</v>
      </c>
    </row>
    <row r="134" spans="1:15" ht="20" customHeight="1" x14ac:dyDescent="0.35">
      <c r="A134" s="4" t="str">
        <f>HYPERLINK("https://www.ti.com/product/ESD862", "ESD862")</f>
        <v>ESD862</v>
      </c>
      <c r="B134" s="3">
        <v>36</v>
      </c>
      <c r="C134" s="4" t="str">
        <f>HYPERLINK("https://www.ti.com/lit/gpn/ESD862", "PDF datasheet")</f>
        <v>PDF datasheet</v>
      </c>
      <c r="D134" s="4" t="str">
        <f>HYPERLINK("https://www.ti.com/document-viewer/ESD862/datasheet", "HTML datasheet")</f>
        <v>HTML datasheet</v>
      </c>
      <c r="E134" s="3">
        <v>2</v>
      </c>
      <c r="F134" s="3" t="s">
        <v>327</v>
      </c>
      <c r="G134" s="3" t="s">
        <v>328</v>
      </c>
      <c r="H134" s="3">
        <v>170</v>
      </c>
      <c r="I134" s="3">
        <v>2.8</v>
      </c>
      <c r="J134" s="3">
        <v>18000</v>
      </c>
      <c r="K134" s="3">
        <v>3</v>
      </c>
      <c r="L134" s="3">
        <v>64</v>
      </c>
      <c r="M134" s="3">
        <v>7.3999999999999996E-2</v>
      </c>
      <c r="N134" s="3">
        <v>3</v>
      </c>
      <c r="O134" s="3" t="s">
        <v>329</v>
      </c>
    </row>
    <row r="135" spans="1:15" ht="20" customHeight="1" x14ac:dyDescent="0.35">
      <c r="A135" s="4" t="str">
        <f>HYPERLINK("https://www.ti.com/product/ESD852", "ESD852")</f>
        <v>ESD852</v>
      </c>
      <c r="B135" s="3">
        <v>36</v>
      </c>
      <c r="C135" s="4" t="str">
        <f>HYPERLINK("https://www.ti.com/lit/gpn/ESD852", "PDF datasheet")</f>
        <v>PDF datasheet</v>
      </c>
      <c r="D135" s="4" t="str">
        <f>HYPERLINK("https://www.ti.com/document-viewer/ESD852/datasheet", "HTML datasheet")</f>
        <v>HTML datasheet</v>
      </c>
      <c r="E135" s="3">
        <v>2</v>
      </c>
      <c r="F135" s="3" t="s">
        <v>330</v>
      </c>
      <c r="G135" s="3" t="s">
        <v>331</v>
      </c>
      <c r="H135" s="3">
        <v>210</v>
      </c>
      <c r="I135" s="3">
        <v>2.8</v>
      </c>
      <c r="J135" s="3">
        <v>25000</v>
      </c>
      <c r="K135" s="3">
        <v>4.3</v>
      </c>
      <c r="L135" s="3">
        <v>63</v>
      </c>
      <c r="M135" s="3">
        <v>7.6999999999999999E-2</v>
      </c>
      <c r="N135" s="3">
        <v>3</v>
      </c>
      <c r="O135" s="3" t="s">
        <v>332</v>
      </c>
    </row>
    <row r="136" spans="1:15" ht="20" customHeight="1" x14ac:dyDescent="0.35">
      <c r="A136" s="4" t="str">
        <f>HYPERLINK("https://www.ti.com/product/TSM24A-Q1", "TSM24A-Q1")</f>
        <v>TSM24A-Q1</v>
      </c>
      <c r="B136" s="3">
        <v>24</v>
      </c>
      <c r="C136" s="4" t="str">
        <f>HYPERLINK("https://www.ti.com/lit/gpn/TSM24A-Q1", "PDF datasheet")</f>
        <v>PDF datasheet</v>
      </c>
      <c r="D136" s="4" t="str">
        <f>HYPERLINK("https://www.ti.com/document-viewer/TSM24A-Q1/datasheet", "HTML datasheet")</f>
        <v>HTML datasheet</v>
      </c>
      <c r="E136" s="3">
        <v>1</v>
      </c>
      <c r="F136" s="3" t="s">
        <v>333</v>
      </c>
      <c r="G136" s="3" t="s">
        <v>334</v>
      </c>
      <c r="H136" s="3">
        <v>2800</v>
      </c>
      <c r="I136" s="3">
        <v>54</v>
      </c>
      <c r="J136" s="3">
        <v>30000</v>
      </c>
      <c r="K136" s="3">
        <v>60</v>
      </c>
      <c r="L136" s="3" t="s">
        <v>335</v>
      </c>
      <c r="M136" s="3">
        <v>0.11600000000000001</v>
      </c>
      <c r="N136" s="3">
        <v>3</v>
      </c>
      <c r="O136" s="3" t="s">
        <v>336</v>
      </c>
    </row>
    <row r="137" spans="1:15" ht="20" customHeight="1" x14ac:dyDescent="0.35">
      <c r="A137" s="4" t="str">
        <f>HYPERLINK("https://www.ti.com/product/TSM24CA-Q1", "TSM24CA-Q1")</f>
        <v>TSM24CA-Q1</v>
      </c>
      <c r="B137" s="3">
        <v>24</v>
      </c>
      <c r="C137" s="4" t="str">
        <f>HYPERLINK("https://www.ti.com/lit/gpn/TSM24CA-Q1", "PDF datasheet")</f>
        <v>PDF datasheet</v>
      </c>
      <c r="D137" s="4" t="str">
        <f>HYPERLINK("https://www.ti.com/document-viewer/TSM24CA-Q1/datasheet", "HTML datasheet")</f>
        <v>HTML datasheet</v>
      </c>
      <c r="E137" s="3">
        <v>1</v>
      </c>
      <c r="F137" s="3" t="s">
        <v>337</v>
      </c>
      <c r="G137" s="3" t="s">
        <v>338</v>
      </c>
      <c r="H137" s="3">
        <v>1200</v>
      </c>
      <c r="I137" s="3">
        <v>14</v>
      </c>
      <c r="J137" s="3">
        <v>30000</v>
      </c>
      <c r="K137" s="3">
        <v>30</v>
      </c>
      <c r="L137" s="3">
        <v>40</v>
      </c>
      <c r="M137" s="3">
        <v>0.13600000000000001</v>
      </c>
      <c r="N137" s="3">
        <v>3</v>
      </c>
      <c r="O137" s="3" t="s">
        <v>339</v>
      </c>
    </row>
    <row r="138" spans="1:15" ht="20" customHeight="1" x14ac:dyDescent="0.35">
      <c r="A138" s="4" t="str">
        <f>HYPERLINK("https://www.ti.com/product/TSM24B", "TSM24B")</f>
        <v>TSM24B</v>
      </c>
      <c r="B138" s="3">
        <v>24</v>
      </c>
      <c r="C138" s="4" t="str">
        <f>HYPERLINK("https://www.ti.com/lit/gpn/TSM24B", "PDF datasheet")</f>
        <v>PDF datasheet</v>
      </c>
      <c r="D138" s="4" t="str">
        <f>HYPERLINK("https://www.ti.com/document-viewer/TSM24B/datasheet", "HTML datasheet")</f>
        <v>HTML datasheet</v>
      </c>
      <c r="E138" s="3">
        <v>1</v>
      </c>
      <c r="F138" s="3" t="s">
        <v>340</v>
      </c>
      <c r="G138" s="3" t="s">
        <v>341</v>
      </c>
      <c r="H138" s="3">
        <v>1200</v>
      </c>
      <c r="I138" s="3">
        <v>24</v>
      </c>
      <c r="J138" s="3">
        <v>30000</v>
      </c>
      <c r="K138" s="3">
        <v>20</v>
      </c>
      <c r="L138" s="3">
        <v>37</v>
      </c>
      <c r="M138" s="3">
        <v>0.09</v>
      </c>
      <c r="N138" s="3">
        <v>3</v>
      </c>
      <c r="O138" s="3" t="s">
        <v>342</v>
      </c>
    </row>
    <row r="139" spans="1:15" ht="20" customHeight="1" x14ac:dyDescent="0.35">
      <c r="A139" s="4" t="str">
        <f>HYPERLINK("https://www.ti.com/product/TSM24CA", "TSM24CA")</f>
        <v>TSM24CA</v>
      </c>
      <c r="B139" s="3">
        <v>24</v>
      </c>
      <c r="C139" s="4" t="str">
        <f>HYPERLINK("https://www.ti.com/lit/gpn/TSM24CA", "PDF datasheet")</f>
        <v>PDF datasheet</v>
      </c>
      <c r="D139" s="4" t="str">
        <f>HYPERLINK("https://www.ti.com/document-viewer/TSM24CA/datasheet", "HTML datasheet")</f>
        <v>HTML datasheet</v>
      </c>
      <c r="E139" s="3">
        <v>1</v>
      </c>
      <c r="F139" s="3" t="s">
        <v>343</v>
      </c>
      <c r="G139" s="3" t="s">
        <v>344</v>
      </c>
      <c r="H139" s="3">
        <v>1200</v>
      </c>
      <c r="I139" s="3">
        <v>14</v>
      </c>
      <c r="J139" s="3">
        <v>30000</v>
      </c>
      <c r="K139" s="3">
        <v>30</v>
      </c>
      <c r="L139" s="3">
        <v>40</v>
      </c>
      <c r="M139" s="3">
        <v>0.11</v>
      </c>
      <c r="N139" s="3">
        <v>3</v>
      </c>
      <c r="O139" s="3" t="s">
        <v>345</v>
      </c>
    </row>
    <row r="140" spans="1:15" ht="20" customHeight="1" x14ac:dyDescent="0.35">
      <c r="A140" s="4" t="str">
        <f>HYPERLINK("https://www.ti.com/product/TSM24A", "TSM24A")</f>
        <v>TSM24A</v>
      </c>
      <c r="B140" s="3">
        <v>24</v>
      </c>
      <c r="C140" s="4" t="str">
        <f>HYPERLINK("https://www.ti.com/lit/gpn/TSM24A", "PDF datasheet")</f>
        <v>PDF datasheet</v>
      </c>
      <c r="D140" s="4" t="str">
        <f>HYPERLINK("https://www.ti.com/document-viewer/TSM24A/datasheet", "HTML datasheet")</f>
        <v>HTML datasheet</v>
      </c>
      <c r="E140" s="3">
        <v>1</v>
      </c>
      <c r="F140" s="3" t="s">
        <v>346</v>
      </c>
      <c r="G140" s="3" t="s">
        <v>347</v>
      </c>
      <c r="H140" s="3">
        <v>2800</v>
      </c>
      <c r="I140" s="3">
        <v>54</v>
      </c>
      <c r="J140" s="3">
        <v>30000</v>
      </c>
      <c r="K140" s="3">
        <v>60</v>
      </c>
      <c r="L140" s="3">
        <v>38</v>
      </c>
      <c r="M140" s="3">
        <v>0.10100000000000001</v>
      </c>
      <c r="N140" s="3">
        <v>3</v>
      </c>
      <c r="O140" s="3" t="s">
        <v>348</v>
      </c>
    </row>
    <row r="141" spans="1:15" ht="20" customHeight="1" x14ac:dyDescent="0.35">
      <c r="A141" s="4" t="str">
        <f>HYPERLINK("https://www.ti.com/product/TSD05", "TSD05")</f>
        <v>TSD05</v>
      </c>
      <c r="B141" s="3">
        <v>5.5</v>
      </c>
      <c r="C141" s="4" t="str">
        <f>HYPERLINK("https://www.ti.com/lit/gpn/TSD05", "PDF datasheet")</f>
        <v>PDF datasheet</v>
      </c>
      <c r="D141" s="4" t="str">
        <f>HYPERLINK("https://www.ti.com/document-viewer/TSD05/datasheet", "HTML datasheet")</f>
        <v>HTML datasheet</v>
      </c>
      <c r="E141" s="3">
        <v>1</v>
      </c>
      <c r="F141" s="3" t="s">
        <v>349</v>
      </c>
      <c r="G141" s="3" t="s">
        <v>350</v>
      </c>
      <c r="H141" s="3">
        <v>530</v>
      </c>
      <c r="I141" s="3">
        <v>19</v>
      </c>
      <c r="J141" s="3">
        <v>30000</v>
      </c>
      <c r="K141" s="3">
        <v>60</v>
      </c>
      <c r="L141" s="3">
        <v>9</v>
      </c>
      <c r="M141" s="3">
        <v>9.0999999999999998E-2</v>
      </c>
      <c r="N141" s="3">
        <v>2</v>
      </c>
      <c r="O141" s="3" t="s">
        <v>351</v>
      </c>
    </row>
    <row r="142" spans="1:15" ht="20" customHeight="1" x14ac:dyDescent="0.35">
      <c r="A142" s="4" t="str">
        <f>HYPERLINK("https://www.ti.com/product/TSD05C", "TSD05C")</f>
        <v>TSD05C</v>
      </c>
      <c r="B142" s="3">
        <v>5.5</v>
      </c>
      <c r="C142" s="4" t="str">
        <f>HYPERLINK("https://www.ti.com/lit/gpn/TSD05C", "PDF datasheet")</f>
        <v>PDF datasheet</v>
      </c>
      <c r="D142" s="4" t="str">
        <f>HYPERLINK("https://www.ti.com/document-viewer/TSD05C/datasheet", "HTML datasheet")</f>
        <v>HTML datasheet</v>
      </c>
      <c r="E142" s="3">
        <v>1</v>
      </c>
      <c r="F142" s="3" t="s">
        <v>352</v>
      </c>
      <c r="G142" s="3" t="s">
        <v>353</v>
      </c>
      <c r="H142" s="3">
        <v>400</v>
      </c>
      <c r="I142" s="3">
        <v>4</v>
      </c>
      <c r="J142" s="3">
        <v>30000</v>
      </c>
      <c r="K142" s="3">
        <v>30</v>
      </c>
      <c r="L142" s="3">
        <v>11.5</v>
      </c>
      <c r="M142" s="3">
        <v>8.3000000000000004E-2</v>
      </c>
      <c r="N142" s="3">
        <v>2</v>
      </c>
      <c r="O142" s="3" t="s">
        <v>354</v>
      </c>
    </row>
    <row r="143" spans="1:15" ht="20" customHeight="1" x14ac:dyDescent="0.35">
      <c r="A143" s="4" t="str">
        <f>HYPERLINK("https://www.ti.com/product/ESD441", "ESD441")</f>
        <v>ESD441</v>
      </c>
      <c r="B143" s="3">
        <v>5.5</v>
      </c>
      <c r="C143" s="4" t="str">
        <f>HYPERLINK("https://www.ti.com/lit/gpn/ESD441", "PDF datasheet")</f>
        <v>PDF datasheet</v>
      </c>
      <c r="D143" s="4" t="str">
        <f>HYPERLINK("https://www.ti.com/document-viewer/ESD441/datasheet", "HTML datasheet")</f>
        <v>HTML datasheet</v>
      </c>
      <c r="E143" s="3">
        <v>1</v>
      </c>
      <c r="F143" s="3" t="s">
        <v>355</v>
      </c>
      <c r="G143" s="3" t="s">
        <v>356</v>
      </c>
      <c r="H143" s="3">
        <v>45</v>
      </c>
      <c r="I143" s="3">
        <v>1</v>
      </c>
      <c r="J143" s="3">
        <v>30000</v>
      </c>
      <c r="K143" s="3">
        <v>6</v>
      </c>
      <c r="L143" s="3">
        <v>7.6</v>
      </c>
      <c r="M143" s="3">
        <v>2.9000000000000001E-2</v>
      </c>
      <c r="N143" s="3">
        <v>2</v>
      </c>
      <c r="O143" s="3" t="s">
        <v>357</v>
      </c>
    </row>
    <row r="144" spans="1:15" ht="20" customHeight="1" x14ac:dyDescent="0.35">
      <c r="A144" s="4" t="str">
        <f>HYPERLINK("https://www.ti.com/product/ESD451", "ESD451")</f>
        <v>ESD451</v>
      </c>
      <c r="B144" s="3">
        <v>5.5</v>
      </c>
      <c r="C144" s="4" t="str">
        <f>HYPERLINK("https://www.ti.com/lit/gpn/ESD451", "PDF datasheet")</f>
        <v>PDF datasheet</v>
      </c>
      <c r="D144" s="4" t="str">
        <f>HYPERLINK("https://www.ti.com/document-viewer/ESD451/datasheet", "HTML datasheet")</f>
        <v>HTML datasheet</v>
      </c>
      <c r="E144" s="3">
        <v>1</v>
      </c>
      <c r="F144" s="3" t="s">
        <v>358</v>
      </c>
      <c r="G144" s="3" t="s">
        <v>359</v>
      </c>
      <c r="H144" s="3">
        <v>57</v>
      </c>
      <c r="I144" s="3">
        <v>0.5</v>
      </c>
      <c r="J144" s="3">
        <v>30000</v>
      </c>
      <c r="K144" s="3">
        <v>6</v>
      </c>
      <c r="L144" s="3">
        <v>10.4</v>
      </c>
      <c r="M144" s="3">
        <v>2.9000000000000001E-2</v>
      </c>
      <c r="N144" s="3">
        <v>2</v>
      </c>
      <c r="O144" s="3" t="s">
        <v>360</v>
      </c>
    </row>
    <row r="145" spans="1:15" ht="20" customHeight="1" x14ac:dyDescent="0.35">
      <c r="A145" s="4" t="str">
        <f>HYPERLINK("https://www.ti.com/product/ESD1LIN24-Q1", "ESD1LIN24-Q1")</f>
        <v>ESD1LIN24-Q1</v>
      </c>
      <c r="B145" s="3">
        <v>24</v>
      </c>
      <c r="C145" s="4" t="str">
        <f>HYPERLINK("https://www.ti.com/lit/gpn/ESD1LIN24-Q1", "PDF datasheet")</f>
        <v>PDF datasheet</v>
      </c>
      <c r="D145" s="4" t="str">
        <f>HYPERLINK("https://www.ti.com/document-viewer/ESD1LIN24-Q1/datasheet", "HTML datasheet")</f>
        <v>HTML datasheet</v>
      </c>
      <c r="E145" s="3">
        <v>1</v>
      </c>
      <c r="F145" s="3" t="s">
        <v>361</v>
      </c>
      <c r="G145" s="3" t="s">
        <v>362</v>
      </c>
      <c r="H145" s="3">
        <v>159</v>
      </c>
      <c r="I145" s="3">
        <v>2.2999999999999998</v>
      </c>
      <c r="J145" s="3">
        <v>30000</v>
      </c>
      <c r="K145" s="3">
        <v>4.4000000000000004</v>
      </c>
      <c r="L145" s="3">
        <v>37</v>
      </c>
      <c r="M145" s="3">
        <v>6.9000000000000006E-2</v>
      </c>
      <c r="N145" s="3">
        <v>2</v>
      </c>
      <c r="O145" s="3" t="s">
        <v>363</v>
      </c>
    </row>
    <row r="146" spans="1:15" ht="20" customHeight="1" x14ac:dyDescent="0.35">
      <c r="A146" s="4" t="str">
        <f>HYPERLINK("https://www.ti.com/product/ESD761-Q1", "ESD761-Q1")</f>
        <v>ESD761-Q1</v>
      </c>
      <c r="B146" s="3">
        <v>24</v>
      </c>
      <c r="C146" s="4" t="str">
        <f>HYPERLINK("https://www.ti.com/lit/gpn/ESD761-Q1", "PDF datasheet")</f>
        <v>PDF datasheet</v>
      </c>
      <c r="D146" s="4" t="str">
        <f>HYPERLINK("https://www.ti.com/document-viewer/ESD761-Q1/datasheet", "HTML datasheet")</f>
        <v>HTML datasheet</v>
      </c>
      <c r="E146" s="3">
        <v>1</v>
      </c>
      <c r="F146" s="3" t="s">
        <v>364</v>
      </c>
      <c r="G146" s="3" t="s">
        <v>365</v>
      </c>
      <c r="H146" s="3">
        <v>65</v>
      </c>
      <c r="I146" s="3">
        <v>1.1000000000000001</v>
      </c>
      <c r="J146" s="3">
        <v>15000</v>
      </c>
      <c r="K146" s="3">
        <v>1.8</v>
      </c>
      <c r="L146" s="3">
        <v>36.299999999999997</v>
      </c>
      <c r="M146" s="3">
        <v>5.7000000000000002E-2</v>
      </c>
      <c r="N146" s="3">
        <v>2</v>
      </c>
      <c r="O146" s="3" t="s">
        <v>366</v>
      </c>
    </row>
    <row r="147" spans="1:15" ht="20" customHeight="1" x14ac:dyDescent="0.35">
      <c r="A147" s="4" t="str">
        <f>HYPERLINK("https://www.ti.com/product/ESD1LIN24", "ESD1LIN24")</f>
        <v>ESD1LIN24</v>
      </c>
      <c r="B147" s="3">
        <v>24</v>
      </c>
      <c r="C147" s="4" t="str">
        <f>HYPERLINK("https://www.ti.com/lit/gpn/ESD1LIN24", "PDF datasheet")</f>
        <v>PDF datasheet</v>
      </c>
      <c r="D147" s="4" t="str">
        <f>HYPERLINK("https://www.ti.com/document-viewer/ESD1LIN24/datasheet", "HTML datasheet")</f>
        <v>HTML datasheet</v>
      </c>
      <c r="E147" s="3">
        <v>1</v>
      </c>
      <c r="F147" s="3" t="s">
        <v>367</v>
      </c>
      <c r="G147" s="3" t="s">
        <v>368</v>
      </c>
      <c r="H147" s="3">
        <v>159</v>
      </c>
      <c r="I147" s="3">
        <v>3</v>
      </c>
      <c r="J147" s="3">
        <v>30000</v>
      </c>
      <c r="K147" s="3">
        <v>3.5</v>
      </c>
      <c r="L147" s="3">
        <v>40</v>
      </c>
      <c r="M147" s="3">
        <v>5.2999999999999999E-2</v>
      </c>
      <c r="N147" s="3">
        <v>2</v>
      </c>
      <c r="O147" s="3" t="s">
        <v>369</v>
      </c>
    </row>
    <row r="148" spans="1:15" ht="20" customHeight="1" x14ac:dyDescent="0.35">
      <c r="A148" s="4" t="str">
        <f>HYPERLINK("https://www.ti.com/product/ESD761", "ESD761")</f>
        <v>ESD761</v>
      </c>
      <c r="B148" s="3">
        <v>24</v>
      </c>
      <c r="C148" s="4" t="str">
        <f>HYPERLINK("https://www.ti.com/lit/gpn/ESD761", "PDF datasheet")</f>
        <v>PDF datasheet</v>
      </c>
      <c r="D148" s="4" t="str">
        <f>HYPERLINK("https://www.ti.com/document-viewer/ESD761/datasheet", "HTML datasheet")</f>
        <v>HTML datasheet</v>
      </c>
      <c r="E148" s="3">
        <v>1</v>
      </c>
      <c r="F148" s="3" t="s">
        <v>370</v>
      </c>
      <c r="G148" s="3" t="s">
        <v>371</v>
      </c>
      <c r="H148" s="3">
        <v>65</v>
      </c>
      <c r="I148" s="3">
        <v>1.1000000000000001</v>
      </c>
      <c r="J148" s="3">
        <v>15000</v>
      </c>
      <c r="K148" s="3">
        <v>1.8</v>
      </c>
      <c r="L148" s="3">
        <v>36.299999999999997</v>
      </c>
      <c r="M148" s="3">
        <v>4.8000000000000001E-2</v>
      </c>
      <c r="N148" s="3">
        <v>2</v>
      </c>
      <c r="O148" s="3" t="s">
        <v>372</v>
      </c>
    </row>
    <row r="149" spans="1:15" ht="20" customHeight="1" x14ac:dyDescent="0.35">
      <c r="A149" s="4" t="str">
        <f>HYPERLINK("https://www.ti.com/product/ESD751-Q1", "ESD751-Q1")</f>
        <v>ESD751-Q1</v>
      </c>
      <c r="B149" s="3">
        <v>24</v>
      </c>
      <c r="C149" s="4" t="str">
        <f>HYPERLINK("https://www.ti.com/lit/gpn/ESD751-Q1", "PDF datasheet")</f>
        <v>PDF datasheet</v>
      </c>
      <c r="D149" s="4" t="str">
        <f>HYPERLINK("https://www.ti.com/document-viewer/ESD751-Q1/datasheet", "HTML datasheet")</f>
        <v>HTML datasheet</v>
      </c>
      <c r="E149" s="3">
        <v>1</v>
      </c>
      <c r="F149" s="3" t="s">
        <v>373</v>
      </c>
      <c r="G149" s="3" t="s">
        <v>374</v>
      </c>
      <c r="H149" s="3">
        <v>102</v>
      </c>
      <c r="I149" s="3">
        <v>1.6</v>
      </c>
      <c r="J149" s="3">
        <v>22000</v>
      </c>
      <c r="K149" s="3">
        <v>2.8</v>
      </c>
      <c r="L149" s="3">
        <v>41.5</v>
      </c>
      <c r="M149" s="3">
        <v>6.8000000000000005E-2</v>
      </c>
      <c r="N149" s="3">
        <v>2</v>
      </c>
      <c r="O149" s="3" t="s">
        <v>375</v>
      </c>
    </row>
    <row r="150" spans="1:15" ht="20" customHeight="1" x14ac:dyDescent="0.35">
      <c r="A150" s="4" t="str">
        <f>HYPERLINK("https://www.ti.com/product/ESD2CANFD24", "ESD2CANFD24")</f>
        <v>ESD2CANFD24</v>
      </c>
      <c r="B150" s="3">
        <v>24</v>
      </c>
      <c r="C150" s="4" t="str">
        <f>HYPERLINK("https://www.ti.com/lit/gpn/ESD2CANFD24", "PDF datasheet")</f>
        <v>PDF datasheet</v>
      </c>
      <c r="D150" s="4" t="str">
        <f>HYPERLINK("https://www.ti.com/document-viewer/ESD2CANFD24/datasheet", "HTML datasheet")</f>
        <v>HTML datasheet</v>
      </c>
      <c r="E150" s="3">
        <v>2</v>
      </c>
      <c r="F150" s="3" t="s">
        <v>376</v>
      </c>
      <c r="G150" s="3" t="s">
        <v>377</v>
      </c>
      <c r="H150" s="3">
        <v>133</v>
      </c>
      <c r="I150" s="3">
        <v>2.5</v>
      </c>
      <c r="J150" s="3">
        <v>25000</v>
      </c>
      <c r="K150" s="3">
        <v>3.5</v>
      </c>
      <c r="L150" s="3">
        <v>36</v>
      </c>
      <c r="M150" s="3">
        <v>7.2999999999999995E-2</v>
      </c>
      <c r="N150" s="3">
        <v>3</v>
      </c>
      <c r="O150" s="3" t="s">
        <v>378</v>
      </c>
    </row>
    <row r="151" spans="1:15" ht="20" customHeight="1" x14ac:dyDescent="0.35">
      <c r="A151" s="4" t="str">
        <f>HYPERLINK("https://www.ti.com/product/ESD2CANFD24-Q1", "ESD2CANFD24-Q1")</f>
        <v>ESD2CANFD24-Q1</v>
      </c>
      <c r="B151" s="3">
        <v>24</v>
      </c>
      <c r="C151" s="4" t="str">
        <f>HYPERLINK("https://www.ti.com/lit/gpn/ESD2CANFD24-Q1", "PDF datasheet")</f>
        <v>PDF datasheet</v>
      </c>
      <c r="D151" s="4" t="str">
        <f>HYPERLINK("https://www.ti.com/document-viewer/ESD2CANFD24-Q1/datasheet", "HTML datasheet")</f>
        <v>HTML datasheet</v>
      </c>
      <c r="E151" s="3">
        <v>2</v>
      </c>
      <c r="F151" s="3" t="s">
        <v>379</v>
      </c>
      <c r="G151" s="3" t="s">
        <v>380</v>
      </c>
      <c r="H151" s="3">
        <v>133</v>
      </c>
      <c r="I151" s="3">
        <v>2.5</v>
      </c>
      <c r="J151" s="3">
        <v>25000</v>
      </c>
      <c r="K151" s="3">
        <v>3.5</v>
      </c>
      <c r="L151" s="3">
        <v>36</v>
      </c>
      <c r="M151" s="3">
        <v>0.106</v>
      </c>
      <c r="N151" s="3">
        <v>3</v>
      </c>
      <c r="O151" s="3" t="s">
        <v>381</v>
      </c>
    </row>
    <row r="152" spans="1:15" ht="20" customHeight="1" x14ac:dyDescent="0.35">
      <c r="A152" s="4" t="str">
        <f>HYPERLINK("https://www.ti.com/product/ESD751", "ESD751")</f>
        <v>ESD751</v>
      </c>
      <c r="B152" s="3">
        <v>24</v>
      </c>
      <c r="C152" s="4" t="str">
        <f>HYPERLINK("https://www.ti.com/lit/gpn/ESD751", "PDF datasheet")</f>
        <v>PDF datasheet</v>
      </c>
      <c r="D152" s="4" t="str">
        <f>HYPERLINK("https://www.ti.com/document-viewer/ESD751/datasheet", "HTML datasheet")</f>
        <v>HTML datasheet</v>
      </c>
      <c r="E152" s="3">
        <v>1</v>
      </c>
      <c r="F152" s="3" t="s">
        <v>382</v>
      </c>
      <c r="G152" s="3" t="s">
        <v>383</v>
      </c>
      <c r="H152" s="3">
        <v>102</v>
      </c>
      <c r="I152" s="3">
        <v>1.6</v>
      </c>
      <c r="J152" s="3">
        <v>22000</v>
      </c>
      <c r="K152" s="3">
        <v>2.8</v>
      </c>
      <c r="L152" s="3">
        <v>36.5</v>
      </c>
      <c r="M152" s="3">
        <v>4.9000000000000002E-2</v>
      </c>
      <c r="N152" s="3">
        <v>2</v>
      </c>
      <c r="O152" s="3" t="s">
        <v>384</v>
      </c>
    </row>
    <row r="153" spans="1:15" ht="20" customHeight="1" x14ac:dyDescent="0.35">
      <c r="A153" s="4" t="str">
        <f>HYPERLINK("https://www.ti.com/product/ESD2CANXL24-Q1", "ESD2CANXL24-Q1")</f>
        <v>ESD2CANXL24-Q1</v>
      </c>
      <c r="B153" s="3">
        <v>24</v>
      </c>
      <c r="C153" s="4" t="str">
        <f>HYPERLINK("https://www.ti.com/lit/gpn/ESD2CANXL24-Q1", "PDF datasheet")</f>
        <v>PDF datasheet</v>
      </c>
      <c r="D153" s="4" t="str">
        <f>HYPERLINK("https://www.ti.com/document-viewer/ESD2CANXL24-Q1/datasheet", "HTML datasheet")</f>
        <v>HTML datasheet</v>
      </c>
      <c r="E153" s="3">
        <v>2</v>
      </c>
      <c r="F153" s="3" t="s">
        <v>385</v>
      </c>
      <c r="G153" s="3" t="s">
        <v>386</v>
      </c>
      <c r="H153" s="3">
        <v>90</v>
      </c>
      <c r="I153" s="3">
        <v>1.7</v>
      </c>
      <c r="J153" s="3">
        <v>20000</v>
      </c>
      <c r="K153" s="3">
        <v>2.5</v>
      </c>
      <c r="L153" s="3">
        <v>38</v>
      </c>
      <c r="M153" s="3">
        <v>8.7999999999999995E-2</v>
      </c>
      <c r="N153" s="3">
        <v>3</v>
      </c>
      <c r="O153" s="3" t="s">
        <v>387</v>
      </c>
    </row>
    <row r="154" spans="1:15" ht="20" customHeight="1" x14ac:dyDescent="0.35">
      <c r="A154" s="4" t="str">
        <f>HYPERLINK("https://www.ti.com/product/ESD762", "ESD762")</f>
        <v>ESD762</v>
      </c>
      <c r="B154" s="3">
        <v>24</v>
      </c>
      <c r="C154" s="4" t="str">
        <f>HYPERLINK("https://www.ti.com/lit/gpn/ESD762", "PDF datasheet")</f>
        <v>PDF datasheet</v>
      </c>
      <c r="D154" s="4" t="str">
        <f>HYPERLINK("https://www.ti.com/document-viewer/ESD762/datasheet", "HTML datasheet")</f>
        <v>HTML datasheet</v>
      </c>
      <c r="E154" s="3">
        <v>2</v>
      </c>
      <c r="F154" s="3" t="s">
        <v>388</v>
      </c>
      <c r="G154" s="3" t="s">
        <v>389</v>
      </c>
      <c r="H154" s="3">
        <v>90</v>
      </c>
      <c r="I154" s="3">
        <v>1.7</v>
      </c>
      <c r="J154" s="3">
        <v>20000</v>
      </c>
      <c r="K154" s="3">
        <v>2.5</v>
      </c>
      <c r="L154" s="3">
        <v>38</v>
      </c>
      <c r="M154" s="3">
        <v>7.2999999999999995E-2</v>
      </c>
      <c r="N154" s="3">
        <v>3</v>
      </c>
      <c r="O154" s="3" t="s">
        <v>390</v>
      </c>
    </row>
    <row r="155" spans="1:15" ht="20" customHeight="1" x14ac:dyDescent="0.35">
      <c r="A155" s="4" t="str">
        <f>HYPERLINK("https://www.ti.com/product/TSM36A", "TSM36A")</f>
        <v>TSM36A</v>
      </c>
      <c r="B155" s="3">
        <v>36</v>
      </c>
      <c r="C155" s="4" t="str">
        <f>HYPERLINK("https://www.ti.com/lit/gpn/TSM36A", "PDF datasheet")</f>
        <v>PDF datasheet</v>
      </c>
      <c r="D155" s="4" t="str">
        <f>HYPERLINK("https://www.ti.com/document-viewer/TSM36A/datasheet", "HTML datasheet")</f>
        <v>HTML datasheet</v>
      </c>
      <c r="E155" s="3">
        <v>1</v>
      </c>
      <c r="F155" s="3" t="s">
        <v>391</v>
      </c>
      <c r="G155" s="3" t="s">
        <v>392</v>
      </c>
      <c r="H155" s="3">
        <v>2000</v>
      </c>
      <c r="I155" s="3">
        <v>50</v>
      </c>
      <c r="J155" s="3">
        <v>30000</v>
      </c>
      <c r="K155" s="3">
        <v>41</v>
      </c>
      <c r="L155" s="3">
        <v>57</v>
      </c>
      <c r="M155" s="3">
        <v>9.5000000000000001E-2</v>
      </c>
      <c r="N155" s="3">
        <v>3</v>
      </c>
      <c r="O155" s="3" t="s">
        <v>393</v>
      </c>
    </row>
    <row r="156" spans="1:15" ht="20" customHeight="1" x14ac:dyDescent="0.35">
      <c r="A156" s="4" t="str">
        <f>HYPERLINK("https://www.ti.com/product/ESD2CAN24-Q1", "ESD2CAN24-Q1")</f>
        <v>ESD2CAN24-Q1</v>
      </c>
      <c r="B156" s="3">
        <v>24</v>
      </c>
      <c r="C156" s="4" t="str">
        <f>HYPERLINK("https://www.ti.com/lit/gpn/ESD2CAN24-Q1", "PDF datasheet")</f>
        <v>PDF datasheet</v>
      </c>
      <c r="D156" s="4" t="str">
        <f>HYPERLINK("https://www.ti.com/document-viewer/ESD2CAN24-Q1/datasheet", "HTML datasheet")</f>
        <v>HTML datasheet</v>
      </c>
      <c r="E156" s="3">
        <v>2</v>
      </c>
      <c r="F156" s="3" t="s">
        <v>394</v>
      </c>
      <c r="G156" s="3" t="s">
        <v>395</v>
      </c>
      <c r="H156" s="3">
        <v>210</v>
      </c>
      <c r="I156" s="3">
        <v>3</v>
      </c>
      <c r="J156" s="3">
        <v>30000</v>
      </c>
      <c r="K156" s="3">
        <v>5.7</v>
      </c>
      <c r="L156" s="3">
        <v>35</v>
      </c>
      <c r="M156" s="3">
        <v>0.104</v>
      </c>
      <c r="N156" s="3">
        <v>3</v>
      </c>
      <c r="O156" s="3" t="s">
        <v>396</v>
      </c>
    </row>
    <row r="157" spans="1:15" ht="20" customHeight="1" x14ac:dyDescent="0.35">
      <c r="A157" s="4" t="str">
        <f>HYPERLINK("https://www.ti.com/product/ESD752", "ESD752")</f>
        <v>ESD752</v>
      </c>
      <c r="B157" s="3">
        <v>24</v>
      </c>
      <c r="C157" s="4" t="str">
        <f>HYPERLINK("https://www.ti.com/lit/gpn/ESD752", "PDF datasheet")</f>
        <v>PDF datasheet</v>
      </c>
      <c r="D157" s="4" t="str">
        <f>HYPERLINK("https://www.ti.com/document-viewer/ESD752/datasheet", "HTML datasheet")</f>
        <v>HTML datasheet</v>
      </c>
      <c r="E157" s="3">
        <v>2</v>
      </c>
      <c r="F157" s="3" t="s">
        <v>397</v>
      </c>
      <c r="G157" s="3" t="s">
        <v>398</v>
      </c>
      <c r="H157" s="3">
        <v>210</v>
      </c>
      <c r="I157" s="3">
        <v>3</v>
      </c>
      <c r="J157" s="3">
        <v>30000</v>
      </c>
      <c r="K157" s="3">
        <v>5.7</v>
      </c>
      <c r="L157" s="3">
        <v>35</v>
      </c>
      <c r="M157" s="3">
        <v>8.5000000000000006E-2</v>
      </c>
      <c r="N157" s="3">
        <v>3</v>
      </c>
      <c r="O157" s="3" t="s">
        <v>399</v>
      </c>
    </row>
    <row r="158" spans="1:15" ht="20" customHeight="1" x14ac:dyDescent="0.35">
      <c r="A158" s="4" t="str">
        <f>HYPERLINK("https://www.ti.com/product/ESD341", "ESD341")</f>
        <v>ESD341</v>
      </c>
      <c r="B158" s="3">
        <v>3.6</v>
      </c>
      <c r="C158" s="4" t="str">
        <f>HYPERLINK("https://www.ti.com/lit/gpn/ESD341", "PDF datasheet")</f>
        <v>PDF datasheet</v>
      </c>
      <c r="D158" s="4" t="str">
        <f>HYPERLINK("https://www.ti.com/document-viewer/ESD341/datasheet", "HTML datasheet")</f>
        <v>HTML datasheet</v>
      </c>
      <c r="E158" s="3">
        <v>1</v>
      </c>
      <c r="F158" s="3" t="s">
        <v>400</v>
      </c>
      <c r="G158" s="3" t="s">
        <v>401</v>
      </c>
      <c r="H158" s="3">
        <v>54</v>
      </c>
      <c r="I158" s="3">
        <v>0.66</v>
      </c>
      <c r="J158" s="3">
        <v>30000</v>
      </c>
      <c r="K158" s="3">
        <v>5.4</v>
      </c>
      <c r="L158" s="3">
        <v>8.8000000000000007</v>
      </c>
      <c r="M158" s="3">
        <v>2.9000000000000001E-2</v>
      </c>
      <c r="N158" s="3">
        <v>2</v>
      </c>
      <c r="O158" s="3" t="s">
        <v>402</v>
      </c>
    </row>
    <row r="159" spans="1:15" ht="20" customHeight="1" x14ac:dyDescent="0.35">
      <c r="A159" s="4" t="str">
        <f>HYPERLINK("https://www.ti.com/product/TPD1E01B04-Q1", "TPD1E01B04-Q1")</f>
        <v>TPD1E01B04-Q1</v>
      </c>
      <c r="B159" s="3">
        <v>3.6</v>
      </c>
      <c r="C159" s="4" t="str">
        <f>HYPERLINK("https://www.ti.com/lit/gpn/TPD1E01B04-Q1", "PDF datasheet")</f>
        <v>PDF datasheet</v>
      </c>
      <c r="D159" s="4" t="str">
        <f>HYPERLINK("https://www.ti.com/document-viewer/TPD1E01B04-Q1/datasheet", "HTML datasheet")</f>
        <v>HTML datasheet</v>
      </c>
      <c r="E159" s="3">
        <v>1</v>
      </c>
      <c r="F159" s="3" t="s">
        <v>403</v>
      </c>
      <c r="G159" s="3" t="s">
        <v>404</v>
      </c>
      <c r="H159" s="3">
        <v>27</v>
      </c>
      <c r="I159" s="3">
        <v>0.2</v>
      </c>
      <c r="J159" s="3">
        <v>15000</v>
      </c>
      <c r="K159" s="3">
        <v>2.5</v>
      </c>
      <c r="L159" s="3">
        <v>15</v>
      </c>
      <c r="M159" s="3">
        <v>0.08</v>
      </c>
      <c r="N159" s="3">
        <v>2</v>
      </c>
      <c r="O159" s="3" t="s">
        <v>405</v>
      </c>
    </row>
    <row r="160" spans="1:15" ht="20" customHeight="1" x14ac:dyDescent="0.35">
      <c r="A160" s="4" t="str">
        <f>HYPERLINK("https://www.ti.com/product/TVS3301", "TVS3301")</f>
        <v>TVS3301</v>
      </c>
      <c r="B160" s="3">
        <v>33</v>
      </c>
      <c r="C160" s="4" t="str">
        <f>HYPERLINK("https://www.ti.com/lit/gpn/TVS3301", "PDF datasheet")</f>
        <v>PDF datasheet</v>
      </c>
      <c r="D160" s="4" t="str">
        <f>HYPERLINK("https://www.ti.com/document-viewer/TVS3301/datasheet", "HTML datasheet")</f>
        <v>HTML datasheet</v>
      </c>
      <c r="E160" s="3">
        <v>1</v>
      </c>
      <c r="F160" s="3" t="s">
        <v>406</v>
      </c>
      <c r="G160" s="3" t="s">
        <v>407</v>
      </c>
      <c r="H160" s="3">
        <v>1100</v>
      </c>
      <c r="I160" s="3">
        <v>54</v>
      </c>
      <c r="J160" s="3">
        <v>8000</v>
      </c>
      <c r="K160" s="3">
        <v>27</v>
      </c>
      <c r="L160" s="3">
        <v>40</v>
      </c>
      <c r="M160" s="3">
        <v>0.28100000000000003</v>
      </c>
      <c r="N160" s="3">
        <v>8</v>
      </c>
      <c r="O160" s="3" t="s">
        <v>408</v>
      </c>
    </row>
    <row r="161" spans="1:15" ht="20" customHeight="1" x14ac:dyDescent="0.35">
      <c r="A161" s="4" t="str">
        <f>HYPERLINK("https://www.ti.com/product/TVS0701", "TVS0701")</f>
        <v>TVS0701</v>
      </c>
      <c r="B161" s="3">
        <v>7</v>
      </c>
      <c r="C161" s="4" t="str">
        <f>HYPERLINK("https://www.ti.com/lit/gpn/TVS0701", "PDF datasheet")</f>
        <v>PDF datasheet</v>
      </c>
      <c r="D161" s="4" t="str">
        <f>HYPERLINK("https://www.ti.com/document-viewer/TVS0701/datasheet", "HTML datasheet")</f>
        <v>HTML datasheet</v>
      </c>
      <c r="E161" s="3">
        <v>1</v>
      </c>
      <c r="F161" s="3" t="s">
        <v>409</v>
      </c>
      <c r="G161" s="3" t="s">
        <v>410</v>
      </c>
      <c r="H161" s="3">
        <v>360</v>
      </c>
      <c r="I161" s="3">
        <v>77</v>
      </c>
      <c r="J161" s="3">
        <v>8000</v>
      </c>
      <c r="K161" s="3">
        <v>30</v>
      </c>
      <c r="L161" s="3">
        <v>11</v>
      </c>
      <c r="M161" s="3">
        <v>0.23100000000000001</v>
      </c>
      <c r="N161" s="3">
        <v>8</v>
      </c>
      <c r="O161" s="3" t="s">
        <v>411</v>
      </c>
    </row>
    <row r="162" spans="1:15" ht="20" customHeight="1" x14ac:dyDescent="0.35">
      <c r="A162" s="4" t="str">
        <f>HYPERLINK("https://www.ti.com/product/TVS1401", "TVS1401")</f>
        <v>TVS1401</v>
      </c>
      <c r="B162" s="3">
        <v>14</v>
      </c>
      <c r="C162" s="4" t="str">
        <f>HYPERLINK("https://www.ti.com/lit/gpn/TVS1401", "PDF datasheet")</f>
        <v>PDF datasheet</v>
      </c>
      <c r="D162" s="4" t="str">
        <f>HYPERLINK("https://www.ti.com/document-viewer/TVS1401/datasheet", "HTML datasheet")</f>
        <v>HTML datasheet</v>
      </c>
      <c r="E162" s="3">
        <v>1</v>
      </c>
      <c r="F162" s="3" t="s">
        <v>412</v>
      </c>
      <c r="G162" s="3" t="s">
        <v>413</v>
      </c>
      <c r="H162" s="3">
        <v>600</v>
      </c>
      <c r="I162" s="3">
        <v>68</v>
      </c>
      <c r="J162" s="3">
        <v>8000</v>
      </c>
      <c r="K162" s="3">
        <v>30</v>
      </c>
      <c r="L162" s="3">
        <v>20.5</v>
      </c>
      <c r="M162" s="3">
        <v>0.23100000000000001</v>
      </c>
      <c r="N162" s="3">
        <v>8</v>
      </c>
      <c r="O162" s="3" t="s">
        <v>414</v>
      </c>
    </row>
    <row r="163" spans="1:15" ht="20" customHeight="1" x14ac:dyDescent="0.35">
      <c r="A163" s="4" t="str">
        <f>HYPERLINK("https://www.ti.com/product/TVS1801", "TVS1801")</f>
        <v>TVS1801</v>
      </c>
      <c r="B163" s="3">
        <v>18</v>
      </c>
      <c r="C163" s="4" t="str">
        <f>HYPERLINK("https://www.ti.com/lit/gpn/TVS1801", "PDF datasheet")</f>
        <v>PDF datasheet</v>
      </c>
      <c r="D163" s="4" t="str">
        <f>HYPERLINK("https://www.ti.com/document-viewer/TVS1801/datasheet", "HTML datasheet")</f>
        <v>HTML datasheet</v>
      </c>
      <c r="E163" s="3">
        <v>1</v>
      </c>
      <c r="F163" s="3" t="s">
        <v>415</v>
      </c>
      <c r="G163" s="3" t="s">
        <v>416</v>
      </c>
      <c r="H163" s="3">
        <v>825</v>
      </c>
      <c r="I163" s="3">
        <v>65</v>
      </c>
      <c r="J163" s="3">
        <v>8000</v>
      </c>
      <c r="K163" s="3">
        <v>30</v>
      </c>
      <c r="L163" s="3">
        <v>27.4</v>
      </c>
      <c r="M163" s="3">
        <v>0.23100000000000001</v>
      </c>
      <c r="N163" s="3">
        <v>8</v>
      </c>
      <c r="O163" s="3" t="s">
        <v>417</v>
      </c>
    </row>
    <row r="164" spans="1:15" ht="20" customHeight="1" x14ac:dyDescent="0.35">
      <c r="A164" s="4" t="str">
        <f>HYPERLINK("https://www.ti.com/product/TVS2201", "TVS2201")</f>
        <v>TVS2201</v>
      </c>
      <c r="B164" s="3">
        <v>22</v>
      </c>
      <c r="C164" s="4" t="str">
        <f>HYPERLINK("https://www.ti.com/lit/gpn/TVS2201", "PDF datasheet")</f>
        <v>PDF datasheet</v>
      </c>
      <c r="D164" s="4" t="str">
        <f>HYPERLINK("https://www.ti.com/document-viewer/TVS2201/datasheet", "HTML datasheet")</f>
        <v>HTML datasheet</v>
      </c>
      <c r="E164" s="3">
        <v>1</v>
      </c>
      <c r="F164" s="3" t="s">
        <v>418</v>
      </c>
      <c r="G164" s="3" t="s">
        <v>419</v>
      </c>
      <c r="H164" s="3">
        <v>850</v>
      </c>
      <c r="I164" s="3">
        <v>62</v>
      </c>
      <c r="J164" s="3">
        <v>8000</v>
      </c>
      <c r="K164" s="3">
        <v>30</v>
      </c>
      <c r="L164" s="3">
        <v>29.6</v>
      </c>
      <c r="M164" s="3">
        <v>0.254</v>
      </c>
      <c r="N164" s="3">
        <v>8</v>
      </c>
      <c r="O164" s="3" t="s">
        <v>420</v>
      </c>
    </row>
    <row r="165" spans="1:15" ht="20" customHeight="1" x14ac:dyDescent="0.35">
      <c r="A165" s="4" t="str">
        <f>HYPERLINK("https://www.ti.com/product/TVS2701", "TVS2701")</f>
        <v>TVS2701</v>
      </c>
      <c r="B165" s="3">
        <v>27</v>
      </c>
      <c r="C165" s="4" t="str">
        <f>HYPERLINK("https://www.ti.com/lit/gpn/TVS2701", "PDF datasheet")</f>
        <v>PDF datasheet</v>
      </c>
      <c r="D165" s="4" t="str">
        <f>HYPERLINK("https://www.ti.com/document-viewer/TVS2701/datasheet", "HTML datasheet")</f>
        <v>HTML datasheet</v>
      </c>
      <c r="E165" s="3">
        <v>1</v>
      </c>
      <c r="F165" s="3" t="s">
        <v>421</v>
      </c>
      <c r="G165" s="3" t="s">
        <v>422</v>
      </c>
      <c r="H165" s="3">
        <v>950</v>
      </c>
      <c r="I165" s="3">
        <v>40</v>
      </c>
      <c r="J165" s="3">
        <v>8000</v>
      </c>
      <c r="K165" s="3">
        <v>27</v>
      </c>
      <c r="L165" s="3">
        <v>34</v>
      </c>
      <c r="M165" s="3">
        <v>0.26600000000000001</v>
      </c>
      <c r="N165" s="3">
        <v>8</v>
      </c>
      <c r="O165" s="3" t="s">
        <v>423</v>
      </c>
    </row>
    <row r="166" spans="1:15" ht="20" customHeight="1" x14ac:dyDescent="0.35">
      <c r="A166" s="4" t="str">
        <f>HYPERLINK("https://www.ti.com/product/ESDS302", "ESDS302")</f>
        <v>ESDS302</v>
      </c>
      <c r="B166" s="3">
        <v>3.6</v>
      </c>
      <c r="C166" s="4" t="str">
        <f>HYPERLINK("https://www.ti.com/lit/gpn/ESDS302", "PDF datasheet")</f>
        <v>PDF datasheet</v>
      </c>
      <c r="D166" s="4" t="str">
        <f>HYPERLINK("https://www.ti.com/document-viewer/ESDS302/datasheet", "HTML datasheet")</f>
        <v>HTML datasheet</v>
      </c>
      <c r="E166" s="3">
        <v>2</v>
      </c>
      <c r="F166" s="3" t="s">
        <v>424</v>
      </c>
      <c r="G166" s="3" t="s">
        <v>595</v>
      </c>
      <c r="H166" s="3">
        <v>85</v>
      </c>
      <c r="I166" s="3">
        <v>2.2999999999999998</v>
      </c>
      <c r="J166" s="3">
        <v>30000</v>
      </c>
      <c r="K166" s="3">
        <v>12</v>
      </c>
      <c r="L166" s="3">
        <v>5.5</v>
      </c>
      <c r="M166" s="3">
        <v>0.11600000000000001</v>
      </c>
      <c r="N166" s="3">
        <v>5</v>
      </c>
      <c r="O166" s="3" t="s">
        <v>425</v>
      </c>
    </row>
    <row r="167" spans="1:15" ht="20" customHeight="1" x14ac:dyDescent="0.35">
      <c r="A167" s="4" t="str">
        <f>HYPERLINK("https://www.ti.com/product/ESDS304", "ESDS304")</f>
        <v>ESDS304</v>
      </c>
      <c r="B167" s="3">
        <v>3.6</v>
      </c>
      <c r="C167" s="4" t="str">
        <f>HYPERLINK("https://www.ti.com/lit/gpn/ESDS304", "PDF datasheet")</f>
        <v>PDF datasheet</v>
      </c>
      <c r="D167" s="4" t="str">
        <f>HYPERLINK("https://www.ti.com/document-viewer/ESDS304/datasheet", "HTML datasheet")</f>
        <v>HTML datasheet</v>
      </c>
      <c r="E167" s="3">
        <v>4</v>
      </c>
      <c r="F167" s="3" t="s">
        <v>426</v>
      </c>
      <c r="G167" s="3" t="s">
        <v>595</v>
      </c>
      <c r="H167" s="3">
        <v>85</v>
      </c>
      <c r="I167" s="3">
        <v>2.2999999999999998</v>
      </c>
      <c r="J167" s="3">
        <v>30000</v>
      </c>
      <c r="K167" s="3">
        <v>12</v>
      </c>
      <c r="L167" s="3">
        <v>6</v>
      </c>
      <c r="M167" s="3">
        <v>0.13200000000000001</v>
      </c>
      <c r="N167" s="3">
        <v>5</v>
      </c>
      <c r="O167" s="3" t="s">
        <v>427</v>
      </c>
    </row>
    <row r="168" spans="1:15" ht="20" customHeight="1" x14ac:dyDescent="0.35">
      <c r="A168" s="4" t="str">
        <f>HYPERLINK("https://www.ti.com/product/ESDS312", "ESDS312")</f>
        <v>ESDS312</v>
      </c>
      <c r="B168" s="3">
        <v>3.6</v>
      </c>
      <c r="C168" s="4" t="str">
        <f>HYPERLINK("https://www.ti.com/lit/gpn/ESDS312", "PDF datasheet")</f>
        <v>PDF datasheet</v>
      </c>
      <c r="D168" s="4" t="str">
        <f>HYPERLINK("https://www.ti.com/document-viewer/ESDS312/datasheet", "HTML datasheet")</f>
        <v>HTML datasheet</v>
      </c>
      <c r="E168" s="3">
        <v>2</v>
      </c>
      <c r="F168" s="3" t="s">
        <v>428</v>
      </c>
      <c r="G168" s="3" t="s">
        <v>595</v>
      </c>
      <c r="H168" s="3">
        <v>170</v>
      </c>
      <c r="I168" s="3">
        <v>4.5</v>
      </c>
      <c r="J168" s="3">
        <v>30000</v>
      </c>
      <c r="K168" s="3">
        <v>25</v>
      </c>
      <c r="L168" s="3">
        <v>6.5</v>
      </c>
      <c r="M168" s="3">
        <v>0.104</v>
      </c>
      <c r="N168" s="3">
        <v>5</v>
      </c>
      <c r="O168" s="3" t="s">
        <v>429</v>
      </c>
    </row>
    <row r="169" spans="1:15" ht="20" customHeight="1" x14ac:dyDescent="0.35">
      <c r="A169" s="4" t="str">
        <f>HYPERLINK("https://www.ti.com/product/ESDS314", "ESDS314")</f>
        <v>ESDS314</v>
      </c>
      <c r="B169" s="3">
        <v>3.6</v>
      </c>
      <c r="C169" s="4" t="str">
        <f>HYPERLINK("https://www.ti.com/lit/gpn/ESDS314", "PDF datasheet")</f>
        <v>PDF datasheet</v>
      </c>
      <c r="D169" s="4" t="str">
        <f>HYPERLINK("https://www.ti.com/document-viewer/ESDS314/datasheet", "HTML datasheet")</f>
        <v>HTML datasheet</v>
      </c>
      <c r="E169" s="3">
        <v>4</v>
      </c>
      <c r="F169" s="3" t="s">
        <v>430</v>
      </c>
      <c r="G169" s="3" t="s">
        <v>595</v>
      </c>
      <c r="H169" s="3">
        <v>170</v>
      </c>
      <c r="I169" s="3">
        <v>4.5</v>
      </c>
      <c r="J169" s="3">
        <v>30000</v>
      </c>
      <c r="K169" s="3">
        <v>25</v>
      </c>
      <c r="L169" s="3">
        <v>5.5</v>
      </c>
      <c r="M169" s="3">
        <v>0.161</v>
      </c>
      <c r="N169" s="3">
        <v>5</v>
      </c>
      <c r="O169" s="3" t="s">
        <v>431</v>
      </c>
    </row>
    <row r="170" spans="1:15" ht="20" customHeight="1" x14ac:dyDescent="0.35">
      <c r="A170" s="4" t="str">
        <f>HYPERLINK("https://www.ti.com/product/ESD321", "ESD321")</f>
        <v>ESD321</v>
      </c>
      <c r="B170" s="3">
        <v>3.6</v>
      </c>
      <c r="C170" s="4" t="str">
        <f>HYPERLINK("https://www.ti.com/lit/gpn/ESD321", "PDF datasheet")</f>
        <v>PDF datasheet</v>
      </c>
      <c r="D170" s="4" t="str">
        <f>HYPERLINK("https://www.ti.com/document-viewer/ESD321/datasheet", "HTML datasheet")</f>
        <v>HTML datasheet</v>
      </c>
      <c r="E170" s="3">
        <v>1</v>
      </c>
      <c r="F170" s="3" t="s">
        <v>432</v>
      </c>
      <c r="G170" s="3" t="s">
        <v>433</v>
      </c>
      <c r="H170" s="3">
        <v>40</v>
      </c>
      <c r="I170" s="3">
        <v>0.9</v>
      </c>
      <c r="J170" s="3">
        <v>30000</v>
      </c>
      <c r="K170" s="3">
        <v>6</v>
      </c>
      <c r="L170" s="3">
        <v>6.8</v>
      </c>
      <c r="M170" s="3">
        <v>7.9000000000000001E-2</v>
      </c>
      <c r="N170" s="3">
        <v>2</v>
      </c>
      <c r="O170" s="3" t="s">
        <v>434</v>
      </c>
    </row>
    <row r="171" spans="1:15" ht="20" customHeight="1" x14ac:dyDescent="0.35">
      <c r="A171" s="4" t="str">
        <f>HYPERLINK("https://www.ti.com/product/ESD351", "ESD351")</f>
        <v>ESD351</v>
      </c>
      <c r="B171" s="3">
        <v>3.6</v>
      </c>
      <c r="C171" s="4" t="str">
        <f>HYPERLINK("https://www.ti.com/lit/gpn/ESD351", "PDF datasheet")</f>
        <v>PDF datasheet</v>
      </c>
      <c r="D171" s="4" t="str">
        <f>HYPERLINK("https://www.ti.com/document-viewer/ESD351/datasheet", "HTML datasheet")</f>
        <v>HTML datasheet</v>
      </c>
      <c r="E171" s="3">
        <v>1</v>
      </c>
      <c r="F171" s="3" t="s">
        <v>435</v>
      </c>
      <c r="G171" s="3" t="s">
        <v>436</v>
      </c>
      <c r="H171" s="3">
        <v>36</v>
      </c>
      <c r="I171" s="3">
        <v>1.8</v>
      </c>
      <c r="J171" s="3">
        <v>30000</v>
      </c>
      <c r="K171" s="3">
        <v>6</v>
      </c>
      <c r="L171" s="3">
        <v>6.5</v>
      </c>
      <c r="M171" s="3">
        <v>5.1999999999999998E-2</v>
      </c>
      <c r="N171" s="3">
        <v>2</v>
      </c>
      <c r="O171" s="3" t="s">
        <v>437</v>
      </c>
    </row>
    <row r="172" spans="1:15" ht="20" customHeight="1" x14ac:dyDescent="0.35">
      <c r="A172" s="4" t="str">
        <f>HYPERLINK("https://www.ti.com/product/ESD204", "ESD204")</f>
        <v>ESD204</v>
      </c>
      <c r="B172" s="3">
        <v>3.6</v>
      </c>
      <c r="C172" s="4" t="str">
        <f>HYPERLINK("https://www.ti.com/lit/gpn/ESD204", "PDF datasheet")</f>
        <v>PDF datasheet</v>
      </c>
      <c r="D172" s="4" t="str">
        <f>HYPERLINK("https://www.ti.com/document-viewer/ESD204/datasheet", "HTML datasheet")</f>
        <v>HTML datasheet</v>
      </c>
      <c r="E172" s="3">
        <v>4</v>
      </c>
      <c r="F172" s="3" t="s">
        <v>438</v>
      </c>
      <c r="G172" s="3" t="s">
        <v>439</v>
      </c>
      <c r="H172" s="3">
        <v>50</v>
      </c>
      <c r="I172" s="3">
        <v>0.55000000000000004</v>
      </c>
      <c r="J172" s="3">
        <v>30000</v>
      </c>
      <c r="K172" s="3">
        <v>5.5</v>
      </c>
      <c r="L172" s="3">
        <v>8.1999999999999993</v>
      </c>
      <c r="M172" s="3">
        <v>9.0999999999999998E-2</v>
      </c>
      <c r="N172" s="3">
        <v>10</v>
      </c>
      <c r="O172" s="3" t="s">
        <v>440</v>
      </c>
    </row>
    <row r="173" spans="1:15" ht="20" customHeight="1" x14ac:dyDescent="0.35">
      <c r="A173" s="4" t="str">
        <f>HYPERLINK("https://www.ti.com/product/ESD224", "ESD224")</f>
        <v>ESD224</v>
      </c>
      <c r="B173" s="3">
        <v>3.6</v>
      </c>
      <c r="C173" s="4" t="str">
        <f>HYPERLINK("https://www.ti.com/lit/gpn/ESD224", "PDF datasheet")</f>
        <v>PDF datasheet</v>
      </c>
      <c r="D173" s="4" t="str">
        <f>HYPERLINK("https://www.ti.com/document-viewer/ESD224/datasheet", "HTML datasheet")</f>
        <v>HTML datasheet</v>
      </c>
      <c r="E173" s="3">
        <v>4</v>
      </c>
      <c r="F173" s="3" t="s">
        <v>441</v>
      </c>
      <c r="G173" s="3" t="s">
        <v>439</v>
      </c>
      <c r="H173" s="3">
        <v>17</v>
      </c>
      <c r="I173" s="3">
        <v>0.5</v>
      </c>
      <c r="J173" s="3">
        <v>12000</v>
      </c>
      <c r="K173" s="3">
        <v>2</v>
      </c>
      <c r="L173" s="3">
        <v>14</v>
      </c>
      <c r="M173" s="3">
        <v>0.13600000000000001</v>
      </c>
      <c r="N173" s="3">
        <v>10</v>
      </c>
      <c r="O173" s="3" t="s">
        <v>442</v>
      </c>
    </row>
    <row r="174" spans="1:15" ht="20" customHeight="1" x14ac:dyDescent="0.35">
      <c r="A174" s="4" t="str">
        <f>HYPERLINK("https://www.ti.com/product/TVS1800", "TVS1800")</f>
        <v>TVS1800</v>
      </c>
      <c r="B174" s="3">
        <v>18</v>
      </c>
      <c r="C174" s="4" t="str">
        <f>HYPERLINK("https://www.ti.com/lit/gpn/TVS1800", "PDF datasheet")</f>
        <v>PDF datasheet</v>
      </c>
      <c r="D174" s="4" t="str">
        <f>HYPERLINK("https://www.ti.com/document-viewer/TVS1800/datasheet", "HTML datasheet")</f>
        <v>HTML datasheet</v>
      </c>
      <c r="E174" s="3">
        <v>1</v>
      </c>
      <c r="F174" s="3" t="s">
        <v>443</v>
      </c>
      <c r="G174" s="3" t="s">
        <v>444</v>
      </c>
      <c r="H174" s="3">
        <v>960</v>
      </c>
      <c r="I174" s="3">
        <v>120</v>
      </c>
      <c r="J174" s="3">
        <v>18000</v>
      </c>
      <c r="K174" s="3">
        <v>40</v>
      </c>
      <c r="L174" s="3">
        <v>23.8</v>
      </c>
      <c r="M174" s="3">
        <v>0.16500000000000001</v>
      </c>
      <c r="N174" s="3">
        <v>6</v>
      </c>
      <c r="O174" s="3" t="s">
        <v>445</v>
      </c>
    </row>
    <row r="175" spans="1:15" ht="20" customHeight="1" x14ac:dyDescent="0.35">
      <c r="A175" s="4" t="str">
        <f>HYPERLINK("https://www.ti.com/product/TVS2200", "TVS2200")</f>
        <v>TVS2200</v>
      </c>
      <c r="B175" s="3">
        <v>22</v>
      </c>
      <c r="C175" s="4" t="str">
        <f>HYPERLINK("https://www.ti.com/lit/gpn/TVS2200", "PDF datasheet")</f>
        <v>PDF datasheet</v>
      </c>
      <c r="D175" s="4" t="str">
        <f>HYPERLINK("https://www.ti.com/document-viewer/TVS2200/datasheet", "HTML datasheet")</f>
        <v>HTML datasheet</v>
      </c>
      <c r="E175" s="3">
        <v>1</v>
      </c>
      <c r="F175" s="3" t="s">
        <v>446</v>
      </c>
      <c r="G175" s="3" t="s">
        <v>447</v>
      </c>
      <c r="H175" s="3">
        <v>1120</v>
      </c>
      <c r="I175" s="3">
        <v>105</v>
      </c>
      <c r="J175" s="3">
        <v>17000</v>
      </c>
      <c r="K175" s="3">
        <v>40</v>
      </c>
      <c r="L175" s="3">
        <v>27.75</v>
      </c>
      <c r="M175" s="3">
        <v>0.16500000000000001</v>
      </c>
      <c r="N175" s="3">
        <v>6</v>
      </c>
      <c r="O175" s="3" t="s">
        <v>448</v>
      </c>
    </row>
    <row r="176" spans="1:15" ht="20" customHeight="1" x14ac:dyDescent="0.35">
      <c r="A176" s="4" t="str">
        <f>HYPERLINK("https://www.ti.com/product/TVS2700", "TVS2700")</f>
        <v>TVS2700</v>
      </c>
      <c r="B176" s="3">
        <v>27</v>
      </c>
      <c r="C176" s="4" t="str">
        <f>HYPERLINK("https://www.ti.com/lit/gpn/TVS2700", "PDF datasheet")</f>
        <v>PDF datasheet</v>
      </c>
      <c r="D176" s="4" t="str">
        <f>HYPERLINK("https://www.ti.com/document-viewer/TVS2700/datasheet", "HTML datasheet")</f>
        <v>HTML datasheet</v>
      </c>
      <c r="E176" s="3">
        <v>1</v>
      </c>
      <c r="F176" s="3" t="s">
        <v>449</v>
      </c>
      <c r="G176" s="3" t="s">
        <v>450</v>
      </c>
      <c r="H176" s="3">
        <v>1250</v>
      </c>
      <c r="I176" s="3">
        <v>100</v>
      </c>
      <c r="J176" s="3">
        <v>16000</v>
      </c>
      <c r="K176" s="3">
        <v>40</v>
      </c>
      <c r="L176" s="3">
        <v>33</v>
      </c>
      <c r="M176" s="3">
        <v>0.19</v>
      </c>
      <c r="N176" s="3">
        <v>6</v>
      </c>
      <c r="O176" s="3" t="s">
        <v>451</v>
      </c>
    </row>
    <row r="177" spans="1:15" ht="20" customHeight="1" x14ac:dyDescent="0.35">
      <c r="A177" s="4" t="str">
        <f>HYPERLINK("https://www.ti.com/product/TVS1400", "TVS1400")</f>
        <v>TVS1400</v>
      </c>
      <c r="B177" s="3">
        <v>14</v>
      </c>
      <c r="C177" s="4" t="str">
        <f>HYPERLINK("https://www.ti.com/lit/gpn/TVS1400", "PDF datasheet")</f>
        <v>PDF datasheet</v>
      </c>
      <c r="D177" s="4" t="str">
        <f>HYPERLINK("https://www.ti.com/document-viewer/TVS1400/datasheet", "HTML datasheet")</f>
        <v>HTML datasheet</v>
      </c>
      <c r="E177" s="3">
        <v>1</v>
      </c>
      <c r="F177" s="3" t="s">
        <v>452</v>
      </c>
      <c r="G177" s="3" t="s">
        <v>453</v>
      </c>
      <c r="H177" s="3">
        <v>820</v>
      </c>
      <c r="I177" s="3">
        <v>120</v>
      </c>
      <c r="J177" s="3">
        <v>21000</v>
      </c>
      <c r="K177" s="3">
        <v>43</v>
      </c>
      <c r="L177" s="3">
        <v>18.399999999999999</v>
      </c>
      <c r="M177" s="3">
        <v>0.16500000000000001</v>
      </c>
      <c r="N177" s="3">
        <v>6</v>
      </c>
      <c r="O177" s="3" t="s">
        <v>454</v>
      </c>
    </row>
    <row r="178" spans="1:15" ht="20" customHeight="1" x14ac:dyDescent="0.35">
      <c r="A178" s="4" t="str">
        <f>HYPERLINK("https://www.ti.com/product/TVS0500", "TVS0500")</f>
        <v>TVS0500</v>
      </c>
      <c r="B178" s="3">
        <v>5</v>
      </c>
      <c r="C178" s="4" t="str">
        <f>HYPERLINK("https://www.ti.com/lit/gpn/TVS0500", "PDF datasheet")</f>
        <v>PDF datasheet</v>
      </c>
      <c r="D178" s="4" t="str">
        <f>HYPERLINK("https://www.ti.com/document-viewer/TVS0500/datasheet", "HTML datasheet")</f>
        <v>HTML datasheet</v>
      </c>
      <c r="E178" s="3">
        <v>1</v>
      </c>
      <c r="F178" s="3" t="s">
        <v>455</v>
      </c>
      <c r="G178" s="3" t="s">
        <v>456</v>
      </c>
      <c r="H178" s="3">
        <v>400</v>
      </c>
      <c r="I178" s="3">
        <v>155</v>
      </c>
      <c r="J178" s="3">
        <v>24000</v>
      </c>
      <c r="K178" s="3">
        <v>43</v>
      </c>
      <c r="L178" s="3">
        <v>9.1999999999999993</v>
      </c>
      <c r="M178" s="3">
        <v>0.16500000000000001</v>
      </c>
      <c r="N178" s="3">
        <v>6</v>
      </c>
      <c r="O178" s="3" t="s">
        <v>457</v>
      </c>
    </row>
    <row r="179" spans="1:15" ht="20" customHeight="1" x14ac:dyDescent="0.35">
      <c r="A179" s="4" t="str">
        <f>HYPERLINK("https://www.ti.com/product/TPD4E02B04-Q1", "TPD4E02B04-Q1")</f>
        <v>TPD4E02B04-Q1</v>
      </c>
      <c r="B179" s="3">
        <v>3.6</v>
      </c>
      <c r="C179" s="4" t="str">
        <f>HYPERLINK("https://www.ti.com/lit/gpn/TPD4E02B04-Q1", "PDF datasheet")</f>
        <v>PDF datasheet</v>
      </c>
      <c r="D179" s="4" t="str">
        <f>HYPERLINK("https://www.ti.com/document-viewer/TPD4E02B04-Q1/datasheet", "HTML datasheet")</f>
        <v>HTML datasheet</v>
      </c>
      <c r="E179" s="3">
        <v>4</v>
      </c>
      <c r="F179" s="3" t="s">
        <v>458</v>
      </c>
      <c r="G179" s="3" t="s">
        <v>459</v>
      </c>
      <c r="H179" s="3">
        <v>17</v>
      </c>
      <c r="I179" s="3">
        <v>0.25</v>
      </c>
      <c r="J179" s="3">
        <v>12000</v>
      </c>
      <c r="K179" s="3">
        <v>2</v>
      </c>
      <c r="L179" s="3">
        <v>6.6</v>
      </c>
      <c r="M179" s="3">
        <v>0.224</v>
      </c>
      <c r="N179" s="3">
        <v>10</v>
      </c>
      <c r="O179" s="3" t="s">
        <v>460</v>
      </c>
    </row>
    <row r="180" spans="1:15" ht="20" customHeight="1" x14ac:dyDescent="0.35">
      <c r="A180" s="4" t="str">
        <f>HYPERLINK("https://www.ti.com/product/ESD401", "ESD401")</f>
        <v>ESD401</v>
      </c>
      <c r="B180" s="3">
        <v>5.5</v>
      </c>
      <c r="C180" s="4" t="str">
        <f>HYPERLINK("https://www.ti.com/lit/gpn/ESD401", "PDF datasheet")</f>
        <v>PDF datasheet</v>
      </c>
      <c r="D180" s="4" t="str">
        <f>HYPERLINK("https://www.ti.com/document-viewer/ESD401/datasheet", "HTML datasheet")</f>
        <v>HTML datasheet</v>
      </c>
      <c r="E180" s="3">
        <v>1</v>
      </c>
      <c r="F180" s="3" t="s">
        <v>461</v>
      </c>
      <c r="G180" s="3" t="s">
        <v>462</v>
      </c>
      <c r="H180" s="3">
        <v>67</v>
      </c>
      <c r="I180" s="3">
        <v>0.77</v>
      </c>
      <c r="J180" s="3">
        <v>24000</v>
      </c>
      <c r="K180" s="3">
        <v>4.5</v>
      </c>
      <c r="L180" s="3">
        <v>15</v>
      </c>
      <c r="M180" s="3">
        <v>6.6000000000000003E-2</v>
      </c>
      <c r="N180" s="3">
        <v>2</v>
      </c>
      <c r="O180" s="3" t="s">
        <v>463</v>
      </c>
    </row>
    <row r="181" spans="1:15" ht="20" customHeight="1" x14ac:dyDescent="0.35">
      <c r="A181" s="4" t="str">
        <f>HYPERLINK("https://www.ti.com/product/ESD122", "ESD122")</f>
        <v>ESD122</v>
      </c>
      <c r="B181" s="3">
        <v>3.6</v>
      </c>
      <c r="C181" s="4" t="str">
        <f>HYPERLINK("https://www.ti.com/lit/gpn/ESD122", "PDF datasheet")</f>
        <v>PDF datasheet</v>
      </c>
      <c r="D181" s="4" t="str">
        <f>HYPERLINK("https://www.ti.com/document-viewer/ESD122/datasheet", "HTML datasheet")</f>
        <v>HTML datasheet</v>
      </c>
      <c r="E181" s="3">
        <v>2</v>
      </c>
      <c r="F181" s="3" t="s">
        <v>464</v>
      </c>
      <c r="G181" s="3" t="s">
        <v>465</v>
      </c>
      <c r="H181" s="3">
        <v>20</v>
      </c>
      <c r="I181" s="3">
        <v>0.2</v>
      </c>
      <c r="J181" s="3">
        <v>17000</v>
      </c>
      <c r="K181" s="3">
        <v>2.5</v>
      </c>
      <c r="L181" s="3">
        <v>13.5</v>
      </c>
      <c r="M181" s="3">
        <v>0.182</v>
      </c>
      <c r="N181" s="3">
        <v>3</v>
      </c>
      <c r="O181" s="3" t="s">
        <v>466</v>
      </c>
    </row>
    <row r="182" spans="1:15" ht="20" customHeight="1" x14ac:dyDescent="0.35">
      <c r="A182" s="4" t="str">
        <f>HYPERLINK("https://www.ti.com/product/TVS3300", "TVS3300")</f>
        <v>TVS3300</v>
      </c>
      <c r="B182" s="3">
        <v>33</v>
      </c>
      <c r="C182" s="4" t="str">
        <f>HYPERLINK("https://www.ti.com/lit/gpn/TVS3300", "PDF datasheet")</f>
        <v>PDF datasheet</v>
      </c>
      <c r="D182" s="4" t="str">
        <f>HYPERLINK("https://www.ti.com/document-viewer/TVS3300/datasheet", "HTML datasheet")</f>
        <v>HTML datasheet</v>
      </c>
      <c r="E182" s="3">
        <v>1</v>
      </c>
      <c r="F182" s="3" t="s">
        <v>467</v>
      </c>
      <c r="G182" s="3" t="s">
        <v>601</v>
      </c>
      <c r="H182" s="3">
        <v>1330</v>
      </c>
      <c r="I182" s="3">
        <v>130</v>
      </c>
      <c r="J182" s="3">
        <v>11000</v>
      </c>
      <c r="K182" s="3">
        <v>35</v>
      </c>
      <c r="L182" s="3">
        <v>38</v>
      </c>
      <c r="M182" s="3">
        <v>0.216</v>
      </c>
      <c r="N182" s="3" t="s">
        <v>468</v>
      </c>
      <c r="O182" s="3" t="s">
        <v>469</v>
      </c>
    </row>
    <row r="183" spans="1:15" ht="20" customHeight="1" x14ac:dyDescent="0.35">
      <c r="A183" s="4" t="str">
        <f>HYPERLINK("https://www.ti.com/product/TPD1E05U06-Q1", "TPD1E05U06-Q1")</f>
        <v>TPD1E05U06-Q1</v>
      </c>
      <c r="B183" s="3">
        <v>5.5</v>
      </c>
      <c r="C183" s="4" t="str">
        <f>HYPERLINK("https://www.ti.com/lit/gpn/TPD1E05U06-Q1", "PDF datasheet")</f>
        <v>PDF datasheet</v>
      </c>
      <c r="D183" s="4" t="str">
        <f>HYPERLINK("https://www.ti.com/document-viewer/TPD1E05U06-Q1/datasheet", "HTML datasheet")</f>
        <v>HTML datasheet</v>
      </c>
      <c r="E183" s="3">
        <v>1</v>
      </c>
      <c r="F183" s="3" t="s">
        <v>470</v>
      </c>
      <c r="G183" s="3" t="s">
        <v>471</v>
      </c>
      <c r="H183" s="3">
        <v>30</v>
      </c>
      <c r="I183" s="3">
        <v>0.4</v>
      </c>
      <c r="J183" s="3">
        <v>12000</v>
      </c>
      <c r="K183" s="3">
        <v>2.5</v>
      </c>
      <c r="L183" s="3" t="s">
        <v>472</v>
      </c>
      <c r="M183" s="3">
        <v>9.2999999999999999E-2</v>
      </c>
      <c r="N183" s="3">
        <v>2</v>
      </c>
      <c r="O183" s="3" t="s">
        <v>473</v>
      </c>
    </row>
    <row r="184" spans="1:15" ht="20" customHeight="1" x14ac:dyDescent="0.35">
      <c r="A184" s="4" t="str">
        <f>HYPERLINK("https://www.ti.com/product/TPD1E10B06-Q1", "TPD1E10B06-Q1")</f>
        <v>TPD1E10B06-Q1</v>
      </c>
      <c r="B184" s="3">
        <v>5.5</v>
      </c>
      <c r="C184" s="4" t="str">
        <f>HYPERLINK("https://www.ti.com/lit/gpn/TPD1E10B06-Q1", "PDF datasheet")</f>
        <v>PDF datasheet</v>
      </c>
      <c r="D184" s="4" t="str">
        <f>HYPERLINK("https://www.ti.com/document-viewer/TPD1E10B06-Q1/datasheet", "HTML datasheet")</f>
        <v>HTML datasheet</v>
      </c>
      <c r="E184" s="3">
        <v>1</v>
      </c>
      <c r="F184" s="3" t="s">
        <v>474</v>
      </c>
      <c r="G184" s="3" t="s">
        <v>475</v>
      </c>
      <c r="H184" s="3">
        <v>90</v>
      </c>
      <c r="I184" s="3">
        <v>12</v>
      </c>
      <c r="J184" s="3">
        <v>30000</v>
      </c>
      <c r="K184" s="3">
        <v>6</v>
      </c>
      <c r="L184" s="3">
        <v>10</v>
      </c>
      <c r="M184" s="3">
        <v>8.2000000000000003E-2</v>
      </c>
      <c r="N184" s="3">
        <v>2</v>
      </c>
      <c r="O184" s="3" t="s">
        <v>476</v>
      </c>
    </row>
    <row r="185" spans="1:15" ht="20" customHeight="1" x14ac:dyDescent="0.35">
      <c r="A185" s="4" t="str">
        <f>HYPERLINK("https://www.ti.com/product/TPD1E10B09-Q1", "TPD1E10B09-Q1")</f>
        <v>TPD1E10B09-Q1</v>
      </c>
      <c r="B185" s="3">
        <v>9</v>
      </c>
      <c r="C185" s="4" t="str">
        <f>HYPERLINK("https://www.ti.com/lit/gpn/TPD1E10B09-Q1", "PDF datasheet")</f>
        <v>PDF datasheet</v>
      </c>
      <c r="D185" s="4" t="str">
        <f>HYPERLINK("https://www.ti.com/document-viewer/TPD1E10B09-Q1/datasheet", "HTML datasheet")</f>
        <v>HTML datasheet</v>
      </c>
      <c r="E185" s="3">
        <v>1</v>
      </c>
      <c r="F185" s="3" t="s">
        <v>477</v>
      </c>
      <c r="G185" s="3" t="s">
        <v>478</v>
      </c>
      <c r="H185" s="3">
        <v>90</v>
      </c>
      <c r="I185" s="3">
        <v>10</v>
      </c>
      <c r="J185" s="3">
        <v>20000</v>
      </c>
      <c r="K185" s="3">
        <v>5.5</v>
      </c>
      <c r="L185" s="3">
        <v>13</v>
      </c>
      <c r="M185" s="3">
        <v>0.105</v>
      </c>
      <c r="N185" s="3">
        <v>2</v>
      </c>
      <c r="O185" s="3" t="s">
        <v>479</v>
      </c>
    </row>
    <row r="186" spans="1:15" ht="20" customHeight="1" x14ac:dyDescent="0.35">
      <c r="A186" s="4" t="str">
        <f>HYPERLINK("https://www.ti.com/product/TPD1E1B04", "TPD1E1B04")</f>
        <v>TPD1E1B04</v>
      </c>
      <c r="B186" s="3">
        <v>3.6</v>
      </c>
      <c r="C186" s="4" t="str">
        <f>HYPERLINK("https://www.ti.com/lit/gpn/TPD1E1B04", "PDF datasheet")</f>
        <v>PDF datasheet</v>
      </c>
      <c r="D186" s="4" t="str">
        <f>HYPERLINK("https://www.ti.com/document-viewer/TPD1E1B04/datasheet", "HTML datasheet")</f>
        <v>HTML datasheet</v>
      </c>
      <c r="E186" s="3">
        <v>1</v>
      </c>
      <c r="F186" s="3" t="s">
        <v>480</v>
      </c>
      <c r="G186" s="3" t="s">
        <v>481</v>
      </c>
      <c r="H186" s="3">
        <v>50</v>
      </c>
      <c r="I186" s="3">
        <v>1</v>
      </c>
      <c r="J186" s="3">
        <v>30000</v>
      </c>
      <c r="K186" s="3">
        <v>6.3</v>
      </c>
      <c r="L186" s="3">
        <v>6.3</v>
      </c>
      <c r="M186" s="3">
        <v>4.7E-2</v>
      </c>
      <c r="N186" s="3">
        <v>2</v>
      </c>
      <c r="O186" s="3" t="s">
        <v>482</v>
      </c>
    </row>
    <row r="187" spans="1:15" ht="20" customHeight="1" x14ac:dyDescent="0.35">
      <c r="A187" s="4" t="str">
        <f>HYPERLINK("https://www.ti.com/product/TPD1E0B04", "TPD1E0B04")</f>
        <v>TPD1E0B04</v>
      </c>
      <c r="B187" s="3">
        <v>3.6</v>
      </c>
      <c r="C187" s="4" t="str">
        <f>HYPERLINK("https://www.ti.com/lit/gpn/TPD1E0B04", "PDF datasheet")</f>
        <v>PDF datasheet</v>
      </c>
      <c r="D187" s="4" t="str">
        <f>HYPERLINK("https://www.ti.com/document-viewer/TPD1E0B04/datasheet", "HTML datasheet")</f>
        <v>HTML datasheet</v>
      </c>
      <c r="E187" s="3">
        <v>1</v>
      </c>
      <c r="F187" s="3" t="s">
        <v>483</v>
      </c>
      <c r="G187" s="3" t="s">
        <v>484</v>
      </c>
      <c r="H187" s="3">
        <v>15</v>
      </c>
      <c r="I187" s="3">
        <v>0.13</v>
      </c>
      <c r="J187" s="3">
        <v>8000</v>
      </c>
      <c r="K187" s="3">
        <v>1.7</v>
      </c>
      <c r="L187" s="3">
        <v>7.2</v>
      </c>
      <c r="M187" s="3">
        <v>7.0000000000000007E-2</v>
      </c>
      <c r="N187" s="3">
        <v>2</v>
      </c>
      <c r="O187" s="3" t="s">
        <v>485</v>
      </c>
    </row>
    <row r="188" spans="1:15" ht="20" customHeight="1" x14ac:dyDescent="0.35">
      <c r="A188" s="4" t="str">
        <f>HYPERLINK("https://www.ti.com/product/TPD1E01B04", "TPD1E01B04")</f>
        <v>TPD1E01B04</v>
      </c>
      <c r="B188" s="3">
        <v>3.6</v>
      </c>
      <c r="C188" s="4" t="str">
        <f>HYPERLINK("https://www.ti.com/lit/gpn/TPD1E01B04", "PDF datasheet")</f>
        <v>PDF datasheet</v>
      </c>
      <c r="D188" s="4" t="str">
        <f>HYPERLINK("https://www.ti.com/document-viewer/TPD1E01B04/datasheet", "HTML datasheet")</f>
        <v>HTML datasheet</v>
      </c>
      <c r="E188" s="3">
        <v>1</v>
      </c>
      <c r="F188" s="3" t="s">
        <v>486</v>
      </c>
      <c r="G188" s="3" t="s">
        <v>487</v>
      </c>
      <c r="H188" s="3">
        <v>27</v>
      </c>
      <c r="I188" s="3">
        <v>0.18</v>
      </c>
      <c r="J188" s="3">
        <v>15000</v>
      </c>
      <c r="K188" s="3">
        <v>2.5</v>
      </c>
      <c r="L188" s="3">
        <v>7</v>
      </c>
      <c r="M188" s="3">
        <v>3.5000000000000003E-2</v>
      </c>
      <c r="N188" s="3">
        <v>2</v>
      </c>
      <c r="O188" s="3" t="s">
        <v>488</v>
      </c>
    </row>
    <row r="189" spans="1:15" ht="20" customHeight="1" x14ac:dyDescent="0.35">
      <c r="A189" s="4" t="str">
        <f>HYPERLINK("https://www.ti.com/product/TPD1E04U04", "TPD1E04U04")</f>
        <v>TPD1E04U04</v>
      </c>
      <c r="B189" s="3">
        <v>3.6</v>
      </c>
      <c r="C189" s="4" t="str">
        <f>HYPERLINK("https://www.ti.com/lit/gpn/TPD1E04U04", "PDF datasheet")</f>
        <v>PDF datasheet</v>
      </c>
      <c r="D189" s="4" t="str">
        <f>HYPERLINK("https://www.ti.com/document-viewer/TPD1E04U04/datasheet", "HTML datasheet")</f>
        <v>HTML datasheet</v>
      </c>
      <c r="E189" s="3">
        <v>1</v>
      </c>
      <c r="F189" s="3" t="s">
        <v>489</v>
      </c>
      <c r="G189" s="3" t="s">
        <v>490</v>
      </c>
      <c r="H189" s="3">
        <v>19</v>
      </c>
      <c r="I189" s="3">
        <v>0.5</v>
      </c>
      <c r="J189" s="3">
        <v>16000</v>
      </c>
      <c r="K189" s="3">
        <v>2.5</v>
      </c>
      <c r="L189" s="3">
        <v>8.5</v>
      </c>
      <c r="M189" s="3">
        <v>0.06</v>
      </c>
      <c r="N189" s="3">
        <v>2</v>
      </c>
      <c r="O189" s="3" t="s">
        <v>491</v>
      </c>
    </row>
    <row r="190" spans="1:15" ht="20" customHeight="1" x14ac:dyDescent="0.35">
      <c r="A190" s="4" t="str">
        <f>HYPERLINK("https://www.ti.com/product/TPD4E02B04", "TPD4E02B04")</f>
        <v>TPD4E02B04</v>
      </c>
      <c r="B190" s="3">
        <v>3.6</v>
      </c>
      <c r="C190" s="4" t="str">
        <f>HYPERLINK("https://www.ti.com/lit/gpn/TPD4E02B04", "PDF datasheet")</f>
        <v>PDF datasheet</v>
      </c>
      <c r="D190" s="4" t="str">
        <f>HYPERLINK("https://www.ti.com/document-viewer/TPD4E02B04/datasheet", "HTML datasheet")</f>
        <v>HTML datasheet</v>
      </c>
      <c r="E190" s="3">
        <v>4</v>
      </c>
      <c r="F190" s="3" t="s">
        <v>492</v>
      </c>
      <c r="G190" s="3" t="s">
        <v>493</v>
      </c>
      <c r="H190" s="3">
        <v>17</v>
      </c>
      <c r="I190" s="3">
        <v>0.25</v>
      </c>
      <c r="J190" s="3">
        <v>12000</v>
      </c>
      <c r="K190" s="3">
        <v>2</v>
      </c>
      <c r="L190" s="3">
        <v>6.6</v>
      </c>
      <c r="M190" s="3">
        <v>0.16700000000000001</v>
      </c>
      <c r="N190" s="3">
        <v>10</v>
      </c>
      <c r="O190" s="3" t="s">
        <v>494</v>
      </c>
    </row>
    <row r="191" spans="1:15" ht="20" customHeight="1" x14ac:dyDescent="0.35">
      <c r="A191" s="4" t="str">
        <f>HYPERLINK("https://www.ti.com/product/TPD2E2U06-Q1", "TPD2E2U06-Q1")</f>
        <v>TPD2E2U06-Q1</v>
      </c>
      <c r="B191" s="3">
        <v>5.5</v>
      </c>
      <c r="C191" s="4" t="str">
        <f>HYPERLINK("https://www.ti.com/lit/gpn/TPD2E2U06-Q1", "PDF datasheet")</f>
        <v>PDF datasheet</v>
      </c>
      <c r="D191" s="4" t="str">
        <f>HYPERLINK("https://www.ti.com/document-viewer/TPD2E2U06-Q1/datasheet", "HTML datasheet")</f>
        <v>HTML datasheet</v>
      </c>
      <c r="E191" s="3">
        <v>2</v>
      </c>
      <c r="F191" s="3" t="s">
        <v>495</v>
      </c>
      <c r="G191" s="3" t="s">
        <v>496</v>
      </c>
      <c r="H191" s="3">
        <v>75</v>
      </c>
      <c r="I191" s="3">
        <v>1.5</v>
      </c>
      <c r="J191" s="3">
        <v>25000</v>
      </c>
      <c r="K191" s="3">
        <v>5.5</v>
      </c>
      <c r="L191" s="3">
        <v>9.6999999999999993</v>
      </c>
      <c r="M191" s="3">
        <v>9.4E-2</v>
      </c>
      <c r="N191" s="3">
        <v>3</v>
      </c>
      <c r="O191" s="3" t="s">
        <v>497</v>
      </c>
    </row>
    <row r="192" spans="1:15" ht="20" customHeight="1" x14ac:dyDescent="0.35">
      <c r="A192" s="4" t="str">
        <f>HYPERLINK("https://www.ti.com/product/TPD4E05U06-Q1", "TPD4E05U06-Q1")</f>
        <v>TPD4E05U06-Q1</v>
      </c>
      <c r="B192" s="3">
        <v>5.5</v>
      </c>
      <c r="C192" s="4" t="str">
        <f>HYPERLINK("https://www.ti.com/lit/gpn/TPD4E05U06-Q1", "PDF datasheet")</f>
        <v>PDF datasheet</v>
      </c>
      <c r="D192" s="4" t="str">
        <f>HYPERLINK("https://www.ti.com/document-viewer/TPD4E05U06-Q1/datasheet", "HTML datasheet")</f>
        <v>HTML datasheet</v>
      </c>
      <c r="E192" s="3">
        <v>4</v>
      </c>
      <c r="F192" s="3" t="s">
        <v>498</v>
      </c>
      <c r="G192" s="3" t="s">
        <v>499</v>
      </c>
      <c r="H192" s="3">
        <v>40</v>
      </c>
      <c r="I192" s="3">
        <v>0.5</v>
      </c>
      <c r="J192" s="3">
        <v>12000</v>
      </c>
      <c r="K192" s="3">
        <v>2.5</v>
      </c>
      <c r="L192" s="3">
        <v>10</v>
      </c>
      <c r="M192" s="3">
        <v>0.2</v>
      </c>
      <c r="N192" s="3">
        <v>10</v>
      </c>
      <c r="O192" s="3" t="s">
        <v>500</v>
      </c>
    </row>
    <row r="193" spans="1:15" ht="20" customHeight="1" x14ac:dyDescent="0.35">
      <c r="A193" s="4" t="str">
        <f>HYPERLINK("https://www.ti.com/product/TPD4E6B06", "TPD4E6B06")</f>
        <v>TPD4E6B06</v>
      </c>
      <c r="B193" s="3">
        <v>5.5</v>
      </c>
      <c r="C193" s="4" t="str">
        <f>HYPERLINK("https://www.ti.com/lit/gpn/TPD4E6B06", "PDF datasheet")</f>
        <v>PDF datasheet</v>
      </c>
      <c r="D193" s="4" t="str">
        <f>HYPERLINK("https://www.ti.com/document-viewer/TPD4E6B06/datasheet", "HTML datasheet")</f>
        <v>HTML datasheet</v>
      </c>
      <c r="E193" s="3">
        <v>4</v>
      </c>
      <c r="F193" s="3" t="s">
        <v>501</v>
      </c>
      <c r="G193" s="3" t="s">
        <v>502</v>
      </c>
      <c r="H193" s="3">
        <v>40</v>
      </c>
      <c r="I193" s="3">
        <v>4.8</v>
      </c>
      <c r="J193" s="3">
        <v>15000</v>
      </c>
      <c r="K193" s="3">
        <v>3</v>
      </c>
      <c r="L193" s="3">
        <v>10</v>
      </c>
      <c r="M193" s="3">
        <v>6.8000000000000005E-2</v>
      </c>
      <c r="N193" s="3">
        <v>4</v>
      </c>
      <c r="O193" s="3" t="s">
        <v>503</v>
      </c>
    </row>
    <row r="194" spans="1:15" ht="20" customHeight="1" x14ac:dyDescent="0.35">
      <c r="A194" s="4" t="str">
        <f>HYPERLINK("https://www.ti.com/product/TPD4E110", "TPD4E110")</f>
        <v>TPD4E110</v>
      </c>
      <c r="B194" s="3">
        <v>5.5</v>
      </c>
      <c r="C194" s="4" t="str">
        <f>HYPERLINK("https://www.ti.com/lit/gpn/TPD4E110", "PDF datasheet")</f>
        <v>PDF datasheet</v>
      </c>
      <c r="D194" s="4" t="str">
        <f>HYPERLINK("https://www.ti.com/document-viewer/TPD4E110/datasheet", "HTML datasheet")</f>
        <v>HTML datasheet</v>
      </c>
      <c r="E194" s="3">
        <v>4</v>
      </c>
      <c r="F194" s="3" t="s">
        <v>504</v>
      </c>
      <c r="G194" s="3" t="s">
        <v>505</v>
      </c>
      <c r="H194" s="3">
        <v>35</v>
      </c>
      <c r="I194" s="3">
        <v>0.45</v>
      </c>
      <c r="J194" s="3">
        <v>12000</v>
      </c>
      <c r="K194" s="3">
        <v>2.5</v>
      </c>
      <c r="L194" s="3">
        <v>10</v>
      </c>
      <c r="M194" s="3">
        <v>0.105</v>
      </c>
      <c r="N194" s="3">
        <v>4</v>
      </c>
      <c r="O194" s="3" t="s">
        <v>506</v>
      </c>
    </row>
    <row r="195" spans="1:15" ht="20" customHeight="1" x14ac:dyDescent="0.35">
      <c r="A195" s="4" t="str">
        <f>HYPERLINK("https://www.ti.com/product/TPD2E1B06", "TPD2E1B06")</f>
        <v>TPD2E1B06</v>
      </c>
      <c r="B195" s="3">
        <v>5.5</v>
      </c>
      <c r="C195" s="4" t="str">
        <f>HYPERLINK("https://www.ti.com/lit/gpn/TPD2E1B06", "PDF datasheet")</f>
        <v>PDF datasheet</v>
      </c>
      <c r="D195" s="4" t="str">
        <f>HYPERLINK("https://www.ti.com/document-viewer/TPD2E1B06/datasheet", "HTML datasheet")</f>
        <v>HTML datasheet</v>
      </c>
      <c r="E195" s="3">
        <v>2</v>
      </c>
      <c r="F195" s="3" t="s">
        <v>507</v>
      </c>
      <c r="G195" s="3" t="s">
        <v>508</v>
      </c>
      <c r="H195" s="3">
        <v>35</v>
      </c>
      <c r="I195" s="3">
        <v>1</v>
      </c>
      <c r="J195" s="3">
        <v>10000</v>
      </c>
      <c r="K195" s="3">
        <v>2.5</v>
      </c>
      <c r="L195" s="3">
        <v>11</v>
      </c>
      <c r="M195" s="3">
        <v>0.122</v>
      </c>
      <c r="N195" s="3">
        <v>6</v>
      </c>
      <c r="O195" s="3" t="s">
        <v>509</v>
      </c>
    </row>
    <row r="196" spans="1:15" ht="20" customHeight="1" x14ac:dyDescent="0.35">
      <c r="A196" s="4" t="str">
        <f>HYPERLINK("https://www.ti.com/product/TPD6E05U06", "TPD6E05U06")</f>
        <v>TPD6E05U06</v>
      </c>
      <c r="B196" s="3">
        <v>5.5</v>
      </c>
      <c r="C196" s="4" t="str">
        <f>HYPERLINK("https://www.ti.com/lit/gpn/TPD6E05U06", "PDF datasheet")</f>
        <v>PDF datasheet</v>
      </c>
      <c r="D196" s="4" t="str">
        <f>HYPERLINK("https://www.ti.com/document-viewer/TPD6E05U06/datasheet", "HTML datasheet")</f>
        <v>HTML datasheet</v>
      </c>
      <c r="E196" s="3">
        <v>6</v>
      </c>
      <c r="F196" s="3" t="s">
        <v>510</v>
      </c>
      <c r="G196" s="3" t="s">
        <v>511</v>
      </c>
      <c r="H196" s="3">
        <v>40</v>
      </c>
      <c r="I196" s="3">
        <v>0.5</v>
      </c>
      <c r="J196" s="3">
        <v>12000</v>
      </c>
      <c r="K196" s="3">
        <v>2.5</v>
      </c>
      <c r="L196" s="3">
        <v>10</v>
      </c>
      <c r="M196" s="3">
        <v>0.30399999999999999</v>
      </c>
      <c r="N196" s="3">
        <v>14</v>
      </c>
      <c r="O196" s="3" t="s">
        <v>512</v>
      </c>
    </row>
    <row r="197" spans="1:15" ht="20" customHeight="1" x14ac:dyDescent="0.35">
      <c r="A197" s="4" t="str">
        <f>HYPERLINK("https://www.ti.com/product/TPD2E2U06", "TPD2E2U06")</f>
        <v>TPD2E2U06</v>
      </c>
      <c r="B197" s="3">
        <v>5.5</v>
      </c>
      <c r="C197" s="4" t="str">
        <f>HYPERLINK("https://www.ti.com/lit/gpn/TPD2E2U06", "PDF datasheet")</f>
        <v>PDF datasheet</v>
      </c>
      <c r="D197" s="4" t="str">
        <f>HYPERLINK("https://www.ti.com/document-viewer/TPD2E2U06/datasheet", "HTML datasheet")</f>
        <v>HTML datasheet</v>
      </c>
      <c r="E197" s="3">
        <v>2</v>
      </c>
      <c r="F197" s="3" t="s">
        <v>513</v>
      </c>
      <c r="G197" s="3" t="s">
        <v>514</v>
      </c>
      <c r="H197" s="3">
        <v>85</v>
      </c>
      <c r="I197" s="3">
        <v>1.5</v>
      </c>
      <c r="J197" s="3">
        <v>25000</v>
      </c>
      <c r="K197" s="3">
        <v>5.5</v>
      </c>
      <c r="L197" s="3">
        <v>9.6999999999999993</v>
      </c>
      <c r="M197" s="3">
        <v>7.0000000000000007E-2</v>
      </c>
      <c r="N197" s="3" t="s">
        <v>515</v>
      </c>
      <c r="O197" s="3" t="s">
        <v>516</v>
      </c>
    </row>
    <row r="198" spans="1:15" ht="20" customHeight="1" x14ac:dyDescent="0.35">
      <c r="A198" s="4" t="str">
        <f>HYPERLINK("https://www.ti.com/product/TPD4E001-Q1", "TPD4E001-Q1")</f>
        <v>TPD4E001-Q1</v>
      </c>
      <c r="B198" s="3">
        <v>5.5</v>
      </c>
      <c r="C198" s="4" t="str">
        <f>HYPERLINK("https://www.ti.com/lit/gpn/TPD4E001-Q1", "PDF datasheet")</f>
        <v>PDF datasheet</v>
      </c>
      <c r="D198" s="4" t="str">
        <f>HYPERLINK("https://www.ti.com/document-viewer/TPD4E001-Q1/datasheet", "HTML datasheet")</f>
        <v>HTML datasheet</v>
      </c>
      <c r="E198" s="3">
        <v>4</v>
      </c>
      <c r="F198" s="3" t="s">
        <v>517</v>
      </c>
      <c r="G198" s="3" t="s">
        <v>518</v>
      </c>
      <c r="H198" s="3">
        <v>100</v>
      </c>
      <c r="I198" s="3">
        <v>1.5</v>
      </c>
      <c r="J198" s="3">
        <v>8000</v>
      </c>
      <c r="K198" s="3">
        <v>5.5</v>
      </c>
      <c r="L198" s="3">
        <v>16</v>
      </c>
      <c r="M198" s="3">
        <v>0.18</v>
      </c>
      <c r="N198" s="3">
        <v>6</v>
      </c>
      <c r="O198" s="3" t="s">
        <v>519</v>
      </c>
    </row>
    <row r="199" spans="1:15" ht="20" customHeight="1" x14ac:dyDescent="0.35">
      <c r="A199" s="4" t="str">
        <f>HYPERLINK("https://www.ti.com/product/TPD4E05U06", "TPD4E05U06")</f>
        <v>TPD4E05U06</v>
      </c>
      <c r="B199" s="3">
        <v>5.5</v>
      </c>
      <c r="C199" s="4" t="str">
        <f>HYPERLINK("https://www.ti.com/lit/gpn/TPD4E05U06", "PDF datasheet")</f>
        <v>PDF datasheet</v>
      </c>
      <c r="D199" s="4" t="str">
        <f>HYPERLINK("https://www.ti.com/document-viewer/TPD4E05U06/datasheet", "HTML datasheet")</f>
        <v>HTML datasheet</v>
      </c>
      <c r="E199" s="3">
        <v>4</v>
      </c>
      <c r="F199" s="3" t="s">
        <v>520</v>
      </c>
      <c r="G199" s="3" t="s">
        <v>521</v>
      </c>
      <c r="H199" s="3">
        <v>40</v>
      </c>
      <c r="I199" s="3">
        <v>0.5</v>
      </c>
      <c r="J199" s="3">
        <v>12000</v>
      </c>
      <c r="K199" s="3">
        <v>2.5</v>
      </c>
      <c r="L199" s="3">
        <v>10</v>
      </c>
      <c r="M199" s="3">
        <v>0.10100000000000001</v>
      </c>
      <c r="N199" s="3">
        <v>10</v>
      </c>
      <c r="O199" s="3" t="s">
        <v>522</v>
      </c>
    </row>
    <row r="200" spans="1:15" ht="20" customHeight="1" x14ac:dyDescent="0.35">
      <c r="A200" s="4" t="str">
        <f>HYPERLINK("https://www.ti.com/product/TPD1E05U06", "TPD1E05U06")</f>
        <v>TPD1E05U06</v>
      </c>
      <c r="B200" s="3">
        <v>5.5</v>
      </c>
      <c r="C200" s="4" t="str">
        <f>HYPERLINK("https://www.ti.com/lit/gpn/TPD1E05U06", "PDF datasheet")</f>
        <v>PDF datasheet</v>
      </c>
      <c r="D200" s="4" t="str">
        <f>HYPERLINK("https://www.ti.com/document-viewer/TPD1E05U06/datasheet", "HTML datasheet")</f>
        <v>HTML datasheet</v>
      </c>
      <c r="E200" s="3">
        <v>1</v>
      </c>
      <c r="F200" s="3" t="s">
        <v>523</v>
      </c>
      <c r="G200" s="3" t="s">
        <v>524</v>
      </c>
      <c r="H200" s="3">
        <v>40</v>
      </c>
      <c r="I200" s="3">
        <v>0.5</v>
      </c>
      <c r="J200" s="3">
        <v>12000</v>
      </c>
      <c r="K200" s="3">
        <v>2.5</v>
      </c>
      <c r="L200" s="3">
        <v>10</v>
      </c>
      <c r="M200" s="3">
        <v>3.9E-2</v>
      </c>
      <c r="N200" s="3">
        <v>2</v>
      </c>
      <c r="O200" s="3" t="s">
        <v>525</v>
      </c>
    </row>
    <row r="201" spans="1:15" ht="20" customHeight="1" x14ac:dyDescent="0.35">
      <c r="A201" s="4" t="str">
        <f>HYPERLINK("https://www.ti.com/product/TPD4E1B06", "TPD4E1B06")</f>
        <v>TPD4E1B06</v>
      </c>
      <c r="B201" s="3">
        <v>5.5</v>
      </c>
      <c r="C201" s="4" t="str">
        <f>HYPERLINK("https://www.ti.com/lit/gpn/TPD4E1B06", "PDF datasheet")</f>
        <v>PDF datasheet</v>
      </c>
      <c r="D201" s="4" t="str">
        <f>HYPERLINK("https://www.ti.com/document-viewer/TPD4E1B06/datasheet", "HTML datasheet")</f>
        <v>HTML datasheet</v>
      </c>
      <c r="E201" s="3">
        <v>4</v>
      </c>
      <c r="F201" s="3" t="s">
        <v>526</v>
      </c>
      <c r="G201" s="3" t="s">
        <v>527</v>
      </c>
      <c r="H201" s="3">
        <v>45</v>
      </c>
      <c r="I201" s="3">
        <v>0.7</v>
      </c>
      <c r="J201" s="3">
        <v>12000</v>
      </c>
      <c r="K201" s="3">
        <v>3</v>
      </c>
      <c r="L201" s="3">
        <v>10.9</v>
      </c>
      <c r="M201" s="3">
        <v>0.13700000000000001</v>
      </c>
      <c r="N201" s="3">
        <v>6</v>
      </c>
      <c r="O201" s="3" t="s">
        <v>528</v>
      </c>
    </row>
    <row r="202" spans="1:15" ht="20" customHeight="1" x14ac:dyDescent="0.35">
      <c r="A202" s="4" t="str">
        <f>HYPERLINK("https://www.ti.com/product/TPD4E1U06", "TPD4E1U06")</f>
        <v>TPD4E1U06</v>
      </c>
      <c r="B202" s="3">
        <v>5.5</v>
      </c>
      <c r="C202" s="4" t="str">
        <f>HYPERLINK("https://www.ti.com/lit/gpn/TPD4E1U06", "PDF datasheet")</f>
        <v>PDF datasheet</v>
      </c>
      <c r="D202" s="4" t="str">
        <f>HYPERLINK("https://www.ti.com/document-viewer/TPD4E1U06/datasheet", "HTML datasheet")</f>
        <v>HTML datasheet</v>
      </c>
      <c r="E202" s="3">
        <v>4</v>
      </c>
      <c r="F202" s="3" t="s">
        <v>529</v>
      </c>
      <c r="G202" s="3" t="s">
        <v>602</v>
      </c>
      <c r="H202" s="3">
        <v>45</v>
      </c>
      <c r="I202" s="3">
        <v>0.8</v>
      </c>
      <c r="J202" s="3">
        <v>15000</v>
      </c>
      <c r="K202" s="3">
        <v>3</v>
      </c>
      <c r="L202" s="3">
        <v>13</v>
      </c>
      <c r="M202" s="3">
        <v>0.13</v>
      </c>
      <c r="N202" s="3">
        <v>6</v>
      </c>
      <c r="O202" s="3" t="s">
        <v>530</v>
      </c>
    </row>
    <row r="203" spans="1:15" ht="20" customHeight="1" x14ac:dyDescent="0.35">
      <c r="A203" s="4" t="str">
        <f>HYPERLINK("https://www.ti.com/product/TPD5E003", "TPD5E003")</f>
        <v>TPD5E003</v>
      </c>
      <c r="B203" s="3">
        <v>5.5</v>
      </c>
      <c r="C203" s="4" t="str">
        <f>HYPERLINK("https://www.ti.com/lit/gpn/TPD5E003", "PDF datasheet")</f>
        <v>PDF datasheet</v>
      </c>
      <c r="D203" s="4" t="str">
        <f>HYPERLINK("https://www.ti.com/document-viewer/TPD5E003/datasheet", "HTML datasheet")</f>
        <v>HTML datasheet</v>
      </c>
      <c r="E203" s="3">
        <v>5</v>
      </c>
      <c r="F203" s="3" t="s">
        <v>531</v>
      </c>
      <c r="G203" s="3" t="s">
        <v>57</v>
      </c>
      <c r="H203" s="3">
        <v>40</v>
      </c>
      <c r="I203" s="3">
        <v>9</v>
      </c>
      <c r="J203" s="3">
        <v>15000</v>
      </c>
      <c r="K203" s="3">
        <v>3</v>
      </c>
      <c r="L203" s="3">
        <v>13</v>
      </c>
      <c r="M203" s="3">
        <v>0.16200000000000001</v>
      </c>
      <c r="N203" s="3">
        <v>6</v>
      </c>
      <c r="O203" s="3" t="s">
        <v>532</v>
      </c>
    </row>
    <row r="204" spans="1:15" ht="20" customHeight="1" x14ac:dyDescent="0.35">
      <c r="A204" s="4" t="str">
        <f>HYPERLINK("https://www.ti.com/product/TPD1E6B06", "TPD1E6B06")</f>
        <v>TPD1E6B06</v>
      </c>
      <c r="B204" s="3">
        <v>5</v>
      </c>
      <c r="C204" s="4" t="str">
        <f>HYPERLINK("https://www.ti.com/lit/gpn/TPD1E6B06", "PDF datasheet")</f>
        <v>PDF datasheet</v>
      </c>
      <c r="D204" s="4" t="str">
        <f>HYPERLINK("https://www.ti.com/document-viewer/TPD1E6B06/datasheet", "HTML datasheet")</f>
        <v>HTML datasheet</v>
      </c>
      <c r="E204" s="3">
        <v>1</v>
      </c>
      <c r="F204" s="3" t="s">
        <v>533</v>
      </c>
      <c r="G204" s="3" t="s">
        <v>534</v>
      </c>
      <c r="H204" s="3">
        <v>50</v>
      </c>
      <c r="I204" s="3">
        <v>6</v>
      </c>
      <c r="J204" s="3">
        <v>15000</v>
      </c>
      <c r="K204" s="3">
        <v>3.8</v>
      </c>
      <c r="L204" s="3">
        <v>10</v>
      </c>
      <c r="M204" s="3">
        <v>2.3E-2</v>
      </c>
      <c r="N204" s="3">
        <v>2</v>
      </c>
      <c r="O204" s="3" t="s">
        <v>535</v>
      </c>
    </row>
    <row r="205" spans="1:15" ht="20" customHeight="1" x14ac:dyDescent="0.35">
      <c r="A205" s="4" t="str">
        <f>HYPERLINK("https://www.ti.com/product/TPD4E101", "TPD4E101")</f>
        <v>TPD4E101</v>
      </c>
      <c r="B205" s="3">
        <v>5.5</v>
      </c>
      <c r="C205" s="4" t="str">
        <f>HYPERLINK("https://www.ti.com/lit/gpn/TPD4E101", "PDF datasheet")</f>
        <v>PDF datasheet</v>
      </c>
      <c r="D205" s="4" t="str">
        <f>HYPERLINK("https://www.ti.com/document-viewer/TPD4E101/datasheet", "HTML datasheet")</f>
        <v>HTML datasheet</v>
      </c>
      <c r="E205" s="3">
        <v>4</v>
      </c>
      <c r="F205" s="3" t="s">
        <v>536</v>
      </c>
      <c r="G205" s="3" t="s">
        <v>537</v>
      </c>
      <c r="H205" s="3">
        <v>40</v>
      </c>
      <c r="I205" s="3">
        <v>4.8</v>
      </c>
      <c r="J205" s="3">
        <v>15000</v>
      </c>
      <c r="K205" s="3">
        <v>3</v>
      </c>
      <c r="L205" s="3">
        <v>13</v>
      </c>
      <c r="M205" s="3">
        <v>0.113</v>
      </c>
      <c r="N205" s="3">
        <v>4</v>
      </c>
      <c r="O205" s="3" t="s">
        <v>538</v>
      </c>
    </row>
    <row r="206" spans="1:15" ht="20" customHeight="1" x14ac:dyDescent="0.35">
      <c r="A206" s="4" t="str">
        <f>HYPERLINK("https://www.ti.com/product/TPD1E10B06", "TPD1E10B06")</f>
        <v>TPD1E10B06</v>
      </c>
      <c r="B206" s="3">
        <v>5.5</v>
      </c>
      <c r="C206" s="4" t="str">
        <f>HYPERLINK("https://www.ti.com/lit/gpn/TPD1E10B06", "PDF datasheet")</f>
        <v>PDF datasheet</v>
      </c>
      <c r="D206" s="4" t="str">
        <f>HYPERLINK("https://www.ti.com/document-viewer/TPD1E10B06/datasheet", "HTML datasheet")</f>
        <v>HTML datasheet</v>
      </c>
      <c r="E206" s="3">
        <v>1</v>
      </c>
      <c r="F206" s="3" t="s">
        <v>539</v>
      </c>
      <c r="G206" s="3" t="s">
        <v>540</v>
      </c>
      <c r="H206" s="3">
        <v>90</v>
      </c>
      <c r="I206" s="3">
        <v>12</v>
      </c>
      <c r="J206" s="3">
        <v>30000</v>
      </c>
      <c r="K206" s="3">
        <v>6</v>
      </c>
      <c r="L206" s="3">
        <v>10</v>
      </c>
      <c r="M206" s="3">
        <v>3.3000000000000002E-2</v>
      </c>
      <c r="N206" s="3">
        <v>2</v>
      </c>
      <c r="O206" s="3" t="s">
        <v>541</v>
      </c>
    </row>
    <row r="207" spans="1:15" ht="20" customHeight="1" x14ac:dyDescent="0.35">
      <c r="A207" s="4" t="str">
        <f>HYPERLINK("https://www.ti.com/product/TPD1E10B09", "TPD1E10B09")</f>
        <v>TPD1E10B09</v>
      </c>
      <c r="B207" s="3">
        <v>9</v>
      </c>
      <c r="C207" s="4" t="str">
        <f>HYPERLINK("https://www.ti.com/lit/gpn/TPD1E10B09", "PDF datasheet")</f>
        <v>PDF datasheet</v>
      </c>
      <c r="D207" s="4" t="str">
        <f>HYPERLINK("https://www.ti.com/document-viewer/TPD1E10B09/datasheet", "HTML datasheet")</f>
        <v>HTML datasheet</v>
      </c>
      <c r="E207" s="3">
        <v>1</v>
      </c>
      <c r="F207" s="3" t="s">
        <v>542</v>
      </c>
      <c r="G207" s="3" t="s">
        <v>543</v>
      </c>
      <c r="H207" s="3">
        <v>90</v>
      </c>
      <c r="I207" s="3">
        <v>10</v>
      </c>
      <c r="J207" s="3">
        <v>20000</v>
      </c>
      <c r="K207" s="3">
        <v>4.5</v>
      </c>
      <c r="L207" s="3">
        <v>13</v>
      </c>
      <c r="M207" s="3">
        <v>7.8E-2</v>
      </c>
      <c r="N207" s="3">
        <v>2</v>
      </c>
      <c r="O207" s="3" t="s">
        <v>544</v>
      </c>
    </row>
    <row r="208" spans="1:15" ht="20" customHeight="1" x14ac:dyDescent="0.35">
      <c r="A208" s="4" t="str">
        <f>HYPERLINK("https://www.ti.com/product/TPD2EUSB30A", "TPD2EUSB30A")</f>
        <v>TPD2EUSB30A</v>
      </c>
      <c r="B208" s="3">
        <v>3.6</v>
      </c>
      <c r="C208" s="4" t="str">
        <f>HYPERLINK("https://www.ti.com/lit/gpn/TPD2EUSB30A", "PDF datasheet")</f>
        <v>PDF datasheet</v>
      </c>
      <c r="D208" s="4" t="str">
        <f>HYPERLINK("https://www.ti.com/document-viewer/TPD2EUSB30A/datasheet", "HTML datasheet")</f>
        <v>HTML datasheet</v>
      </c>
      <c r="E208" s="3">
        <v>2</v>
      </c>
      <c r="F208" s="3" t="s">
        <v>545</v>
      </c>
      <c r="G208" s="3" t="s">
        <v>546</v>
      </c>
      <c r="H208" s="3">
        <v>45</v>
      </c>
      <c r="I208" s="3">
        <v>0.7</v>
      </c>
      <c r="J208" s="3">
        <v>8000</v>
      </c>
      <c r="K208" s="3">
        <v>5</v>
      </c>
      <c r="L208" s="3">
        <v>8</v>
      </c>
      <c r="M208" s="3">
        <v>0.152</v>
      </c>
      <c r="N208" s="3">
        <v>3</v>
      </c>
      <c r="O208" s="3" t="s">
        <v>547</v>
      </c>
    </row>
    <row r="209" spans="1:15" ht="20" customHeight="1" x14ac:dyDescent="0.35">
      <c r="A209" s="4" t="str">
        <f>HYPERLINK("https://www.ti.com/product/TPD4EUSB30", "TPD4EUSB30")</f>
        <v>TPD4EUSB30</v>
      </c>
      <c r="B209" s="3">
        <v>5.5</v>
      </c>
      <c r="C209" s="4" t="str">
        <f>HYPERLINK("https://www.ti.com/lit/gpn/TPD4EUSB30", "PDF datasheet")</f>
        <v>PDF datasheet</v>
      </c>
      <c r="D209" s="4" t="str">
        <f>HYPERLINK("https://www.ti.com/document-viewer/TPD4EUSB30/datasheet", "HTML datasheet")</f>
        <v>HTML datasheet</v>
      </c>
      <c r="E209" s="3">
        <v>4</v>
      </c>
      <c r="F209" s="3" t="s">
        <v>548</v>
      </c>
      <c r="G209" s="3" t="s">
        <v>439</v>
      </c>
      <c r="H209" s="3">
        <v>45</v>
      </c>
      <c r="I209" s="3">
        <v>0.8</v>
      </c>
      <c r="J209" s="3">
        <v>8000</v>
      </c>
      <c r="K209" s="3">
        <v>5</v>
      </c>
      <c r="L209" s="3">
        <v>8</v>
      </c>
      <c r="M209" s="3">
        <v>0.25800000000000001</v>
      </c>
      <c r="N209" s="3">
        <v>10</v>
      </c>
      <c r="O209" s="3" t="s">
        <v>550</v>
      </c>
    </row>
    <row r="210" spans="1:15" ht="20" customHeight="1" x14ac:dyDescent="0.35">
      <c r="A210" s="4" t="str">
        <f>HYPERLINK("https://www.ti.com/product/TPD2EUSB30", "TPD2EUSB30")</f>
        <v>TPD2EUSB30</v>
      </c>
      <c r="B210" s="3">
        <v>5.5</v>
      </c>
      <c r="C210" s="4" t="str">
        <f>HYPERLINK("https://www.ti.com/lit/gpn/TPD2EUSB30", "PDF datasheet")</f>
        <v>PDF datasheet</v>
      </c>
      <c r="D210" s="4" t="str">
        <f>HYPERLINK("https://www.ti.com/document-viewer/TPD2EUSB30/datasheet", "HTML datasheet")</f>
        <v>HTML datasheet</v>
      </c>
      <c r="E210" s="3">
        <v>2</v>
      </c>
      <c r="F210" s="3" t="s">
        <v>551</v>
      </c>
      <c r="G210" s="3" t="s">
        <v>552</v>
      </c>
      <c r="H210" s="3">
        <v>45</v>
      </c>
      <c r="I210" s="3">
        <v>0.7</v>
      </c>
      <c r="J210" s="3">
        <v>8000</v>
      </c>
      <c r="K210" s="3">
        <v>5</v>
      </c>
      <c r="L210" s="3">
        <v>8</v>
      </c>
      <c r="M210" s="3">
        <v>0.16700000000000001</v>
      </c>
      <c r="N210" s="3">
        <v>3</v>
      </c>
      <c r="O210" s="3" t="s">
        <v>553</v>
      </c>
    </row>
    <row r="211" spans="1:15" ht="20" customHeight="1" x14ac:dyDescent="0.35">
      <c r="A211" s="4" t="str">
        <f>HYPERLINK("https://www.ti.com/product/TPD2E001-Q1", "TPD2E001-Q1")</f>
        <v>TPD2E001-Q1</v>
      </c>
      <c r="B211" s="3">
        <v>5.5</v>
      </c>
      <c r="C211" s="4" t="str">
        <f>HYPERLINK("https://www.ti.com/lit/gpn/TPD2E001-Q1", "PDF datasheet")</f>
        <v>PDF datasheet</v>
      </c>
      <c r="D211" s="4" t="s">
        <v>554</v>
      </c>
      <c r="E211" s="3">
        <v>2</v>
      </c>
      <c r="F211" s="3" t="s">
        <v>555</v>
      </c>
      <c r="G211" s="3" t="s">
        <v>556</v>
      </c>
      <c r="H211" s="3">
        <v>100</v>
      </c>
      <c r="I211" s="3">
        <v>1.5</v>
      </c>
      <c r="J211" s="3">
        <v>8000</v>
      </c>
      <c r="K211" s="3"/>
      <c r="L211" s="3">
        <v>16</v>
      </c>
      <c r="M211" s="3">
        <v>0.19400000000000001</v>
      </c>
      <c r="N211" s="3">
        <v>5</v>
      </c>
      <c r="O211" s="3" t="s">
        <v>557</v>
      </c>
    </row>
    <row r="212" spans="1:15" ht="20" customHeight="1" x14ac:dyDescent="0.35">
      <c r="A212" s="4" t="str">
        <f>HYPERLINK("https://www.ti.com/product/TPD2S017", "TPD2S017")</f>
        <v>TPD2S017</v>
      </c>
      <c r="B212" s="3">
        <v>5.5</v>
      </c>
      <c r="C212" s="4" t="str">
        <f>HYPERLINK("https://www.ti.com/lit/gpn/TPD2S017", "PDF datasheet")</f>
        <v>PDF datasheet</v>
      </c>
      <c r="D212" s="4" t="str">
        <f>HYPERLINK("https://www.ti.com/document-viewer/TPD2S017/datasheet", "HTML datasheet")</f>
        <v>HTML datasheet</v>
      </c>
      <c r="E212" s="3">
        <v>2</v>
      </c>
      <c r="F212" s="3" t="s">
        <v>558</v>
      </c>
      <c r="G212" s="3" t="s">
        <v>559</v>
      </c>
      <c r="H212" s="3"/>
      <c r="I212" s="3">
        <v>1</v>
      </c>
      <c r="J212" s="3">
        <v>11000</v>
      </c>
      <c r="K212" s="3">
        <v>6</v>
      </c>
      <c r="L212" s="3">
        <v>14</v>
      </c>
      <c r="M212" s="3">
        <v>0.14799999999999999</v>
      </c>
      <c r="N212" s="3">
        <v>6</v>
      </c>
      <c r="O212" s="3" t="s">
        <v>560</v>
      </c>
    </row>
    <row r="213" spans="1:15" ht="20" customHeight="1" x14ac:dyDescent="0.35">
      <c r="A213" s="4" t="str">
        <f>HYPERLINK("https://www.ti.com/product/TPD2E009", "TPD2E009")</f>
        <v>TPD2E009</v>
      </c>
      <c r="B213" s="3">
        <v>5.5</v>
      </c>
      <c r="C213" s="4" t="str">
        <f>HYPERLINK("https://www.ti.com/lit/gpn/TPD2E009", "PDF datasheet")</f>
        <v>PDF datasheet</v>
      </c>
      <c r="D213" s="4" t="str">
        <f>HYPERLINK("https://www.ti.com/document-viewer/TPD2E009/datasheet", "HTML datasheet")</f>
        <v>HTML datasheet</v>
      </c>
      <c r="E213" s="3">
        <v>2</v>
      </c>
      <c r="F213" s="3" t="s">
        <v>561</v>
      </c>
      <c r="G213" s="3" t="s">
        <v>562</v>
      </c>
      <c r="H213" s="3">
        <v>45</v>
      </c>
      <c r="I213" s="3">
        <v>0.7</v>
      </c>
      <c r="J213" s="3">
        <v>8000</v>
      </c>
      <c r="K213" s="3">
        <v>5</v>
      </c>
      <c r="L213" s="3">
        <v>8</v>
      </c>
      <c r="M213" s="3">
        <v>0.109</v>
      </c>
      <c r="N213" s="3">
        <v>3</v>
      </c>
      <c r="O213" s="3" t="s">
        <v>563</v>
      </c>
    </row>
    <row r="214" spans="1:15" ht="20" customHeight="1" x14ac:dyDescent="0.35">
      <c r="A214" s="4" t="str">
        <f>HYPERLINK("https://www.ti.com/product/TPD2E007", "TPD2E007")</f>
        <v>TPD2E007</v>
      </c>
      <c r="B214" s="3">
        <v>13</v>
      </c>
      <c r="C214" s="4" t="str">
        <f>HYPERLINK("https://www.ti.com/lit/gpn/TPD2E007", "PDF datasheet")</f>
        <v>PDF datasheet</v>
      </c>
      <c r="D214" s="4" t="str">
        <f>HYPERLINK("https://www.ti.com/document-viewer/TPD2E007/datasheet", "HTML datasheet")</f>
        <v>HTML datasheet</v>
      </c>
      <c r="E214" s="3">
        <v>2</v>
      </c>
      <c r="F214" s="3" t="s">
        <v>564</v>
      </c>
      <c r="G214" s="3" t="s">
        <v>565</v>
      </c>
      <c r="H214" s="3">
        <v>0.27</v>
      </c>
      <c r="I214" s="3">
        <v>10</v>
      </c>
      <c r="J214" s="3">
        <v>8000</v>
      </c>
      <c r="K214" s="3">
        <v>4.5</v>
      </c>
      <c r="L214" s="3">
        <v>20</v>
      </c>
      <c r="M214" s="3">
        <v>0.29399999999999998</v>
      </c>
      <c r="N214" s="3" t="s">
        <v>566</v>
      </c>
      <c r="O214" s="3" t="s">
        <v>567</v>
      </c>
    </row>
    <row r="215" spans="1:15" ht="20" customHeight="1" x14ac:dyDescent="0.35">
      <c r="A215" s="4" t="str">
        <f>HYPERLINK("https://www.ti.com/product/TPD4S010", "TPD4S010")</f>
        <v>TPD4S010</v>
      </c>
      <c r="B215" s="3">
        <v>5.5</v>
      </c>
      <c r="C215" s="4" t="str">
        <f>HYPERLINK("https://www.ti.com/lit/gpn/TPD4S010", "PDF datasheet")</f>
        <v>PDF datasheet</v>
      </c>
      <c r="D215" s="4" t="str">
        <f>HYPERLINK("https://www.ti.com/document-viewer/TPD4S010/datasheet", "HTML datasheet")</f>
        <v>HTML datasheet</v>
      </c>
      <c r="E215" s="3">
        <v>4</v>
      </c>
      <c r="F215" s="3" t="s">
        <v>568</v>
      </c>
      <c r="G215" s="3" t="s">
        <v>569</v>
      </c>
      <c r="H215" s="3">
        <v>25</v>
      </c>
      <c r="I215" s="3">
        <v>0.8</v>
      </c>
      <c r="J215" s="3">
        <v>8000</v>
      </c>
      <c r="K215" s="3">
        <v>2.5</v>
      </c>
      <c r="L215" s="3">
        <v>20</v>
      </c>
      <c r="M215" s="3">
        <v>0.26600000000000001</v>
      </c>
      <c r="N215" s="3">
        <v>10</v>
      </c>
      <c r="O215" s="3" t="s">
        <v>570</v>
      </c>
    </row>
    <row r="216" spans="1:15" ht="20" customHeight="1" x14ac:dyDescent="0.35">
      <c r="A216" s="4" t="str">
        <f>HYPERLINK("https://www.ti.com/product/TPD4S012", "TPD4S012")</f>
        <v>TPD4S012</v>
      </c>
      <c r="B216" s="3">
        <v>5.5</v>
      </c>
      <c r="C216" s="4" t="str">
        <f>HYPERLINK("https://www.ti.com/lit/gpn/TPD4S012", "PDF datasheet")</f>
        <v>PDF datasheet</v>
      </c>
      <c r="D216" s="4" t="str">
        <f>HYPERLINK("https://www.ti.com/document-viewer/TPD4S012/datasheet", "HTML datasheet")</f>
        <v>HTML datasheet</v>
      </c>
      <c r="E216" s="3">
        <v>4</v>
      </c>
      <c r="F216" s="3" t="s">
        <v>571</v>
      </c>
      <c r="G216" s="3" t="s">
        <v>549</v>
      </c>
      <c r="H216" s="3">
        <v>60</v>
      </c>
      <c r="I216" s="3">
        <v>0.8</v>
      </c>
      <c r="J216" s="3">
        <v>10000</v>
      </c>
      <c r="K216" s="3">
        <v>3</v>
      </c>
      <c r="L216" s="3">
        <v>8</v>
      </c>
      <c r="M216" s="3">
        <v>0.159</v>
      </c>
      <c r="N216" s="3">
        <v>6</v>
      </c>
      <c r="O216" s="3" t="s">
        <v>572</v>
      </c>
    </row>
    <row r="217" spans="1:15" ht="20" customHeight="1" x14ac:dyDescent="0.35">
      <c r="A217" s="4" t="str">
        <f>HYPERLINK("https://www.ti.com/product/TPD8S009", "TPD8S009")</f>
        <v>TPD8S009</v>
      </c>
      <c r="B217" s="3">
        <v>5.5</v>
      </c>
      <c r="C217" s="4" t="str">
        <f>HYPERLINK("https://www.ti.com/lit/gpn/TPD8S009", "PDF datasheet")</f>
        <v>PDF datasheet</v>
      </c>
      <c r="D217" s="4" t="str">
        <f>HYPERLINK("https://www.ti.com/document-viewer/TPD8S009/datasheet", "HTML datasheet")</f>
        <v>HTML datasheet</v>
      </c>
      <c r="E217" s="3">
        <v>8</v>
      </c>
      <c r="F217" s="3" t="s">
        <v>573</v>
      </c>
      <c r="G217" s="3" t="s">
        <v>574</v>
      </c>
      <c r="H217" s="3">
        <v>25</v>
      </c>
      <c r="I217" s="3">
        <v>0.8</v>
      </c>
      <c r="J217" s="3">
        <v>8000</v>
      </c>
      <c r="K217" s="3">
        <v>2.5</v>
      </c>
      <c r="L217" s="3">
        <v>20</v>
      </c>
      <c r="M217" s="3">
        <v>0.88800000000000001</v>
      </c>
      <c r="N217" s="3">
        <v>15</v>
      </c>
      <c r="O217" s="3" t="s">
        <v>575</v>
      </c>
    </row>
    <row r="218" spans="1:15" ht="20" customHeight="1" x14ac:dyDescent="0.35">
      <c r="A218" s="4" t="str">
        <f>HYPERLINK("https://www.ti.com/product/TPD4S009", "TPD4S009")</f>
        <v>TPD4S009</v>
      </c>
      <c r="B218" s="3">
        <v>5.5</v>
      </c>
      <c r="C218" s="4" t="str">
        <f>HYPERLINK("https://www.ti.com/lit/gpn/TPD4S009", "PDF datasheet")</f>
        <v>PDF datasheet</v>
      </c>
      <c r="D218" s="4" t="str">
        <f>HYPERLINK("https://www.ti.com/document-viewer/TPD4S009/datasheet", "HTML datasheet")</f>
        <v>HTML datasheet</v>
      </c>
      <c r="E218" s="3">
        <v>4</v>
      </c>
      <c r="F218" s="3" t="s">
        <v>576</v>
      </c>
      <c r="G218" s="3" t="s">
        <v>577</v>
      </c>
      <c r="H218" s="3">
        <v>25</v>
      </c>
      <c r="I218" s="3">
        <v>0.8</v>
      </c>
      <c r="J218" s="3">
        <v>8000</v>
      </c>
      <c r="K218" s="3">
        <v>2.5</v>
      </c>
      <c r="L218" s="3">
        <v>20</v>
      </c>
      <c r="M218" s="3">
        <v>9.9000000000000005E-2</v>
      </c>
      <c r="N218" s="3" t="s">
        <v>578</v>
      </c>
      <c r="O218" s="3" t="s">
        <v>579</v>
      </c>
    </row>
    <row r="219" spans="1:15" ht="20" customHeight="1" x14ac:dyDescent="0.35">
      <c r="A219" s="4" t="str">
        <f>HYPERLINK("https://www.ti.com/product/TPD2E001", "TPD2E001")</f>
        <v>TPD2E001</v>
      </c>
      <c r="B219" s="3">
        <v>5.5</v>
      </c>
      <c r="C219" s="4" t="str">
        <f>HYPERLINK("https://www.ti.com/lit/gpn/TPD2E001", "PDF datasheet")</f>
        <v>PDF datasheet</v>
      </c>
      <c r="D219" s="4" t="str">
        <f>HYPERLINK("https://www.ti.com/document-viewer/TPD2E001/datasheet", "HTML datasheet")</f>
        <v>HTML datasheet</v>
      </c>
      <c r="E219" s="3">
        <v>2</v>
      </c>
      <c r="F219" s="3" t="s">
        <v>580</v>
      </c>
      <c r="G219" s="3" t="s">
        <v>598</v>
      </c>
      <c r="H219" s="3">
        <v>100</v>
      </c>
      <c r="I219" s="3">
        <v>1.5</v>
      </c>
      <c r="J219" s="3">
        <v>8000</v>
      </c>
      <c r="K219" s="3"/>
      <c r="L219" s="3">
        <v>16</v>
      </c>
      <c r="M219" s="3">
        <v>0.121</v>
      </c>
      <c r="N219" s="3" t="s">
        <v>581</v>
      </c>
      <c r="O219" s="3" t="s">
        <v>582</v>
      </c>
    </row>
    <row r="220" spans="1:15" ht="20" customHeight="1" x14ac:dyDescent="0.35">
      <c r="A220" s="4" t="str">
        <f>HYPERLINK("https://www.ti.com/product/TPD3E001", "TPD3E001")</f>
        <v>TPD3E001</v>
      </c>
      <c r="B220" s="3">
        <v>5.5</v>
      </c>
      <c r="C220" s="4" t="str">
        <f>HYPERLINK("https://www.ti.com/lit/gpn/TPD3E001", "PDF datasheet")</f>
        <v>PDF datasheet</v>
      </c>
      <c r="D220" s="4" t="str">
        <f>HYPERLINK("https://www.ti.com/document-viewer/TPD3E001/datasheet", "HTML datasheet")</f>
        <v>HTML datasheet</v>
      </c>
      <c r="E220" s="3">
        <v>3</v>
      </c>
      <c r="F220" s="3" t="s">
        <v>583</v>
      </c>
      <c r="G220" s="3" t="s">
        <v>599</v>
      </c>
      <c r="H220" s="3">
        <v>100</v>
      </c>
      <c r="I220" s="3">
        <v>1.5</v>
      </c>
      <c r="J220" s="3">
        <v>8000</v>
      </c>
      <c r="K220" s="3">
        <v>5.5</v>
      </c>
      <c r="L220" s="3">
        <v>25</v>
      </c>
      <c r="M220" s="3">
        <v>0.155</v>
      </c>
      <c r="N220" s="3" t="s">
        <v>584</v>
      </c>
      <c r="O220" s="3" t="s">
        <v>585</v>
      </c>
    </row>
    <row r="221" spans="1:15" ht="20" customHeight="1" x14ac:dyDescent="0.35">
      <c r="A221" s="4" t="str">
        <f>HYPERLINK("https://www.ti.com/product/TPD4E002", "TPD4E002")</f>
        <v>TPD4E002</v>
      </c>
      <c r="B221" s="3">
        <v>5</v>
      </c>
      <c r="C221" s="4" t="str">
        <f>HYPERLINK("https://www.ti.com/lit/gpn/TPD4E002", "PDF datasheet")</f>
        <v>PDF datasheet</v>
      </c>
      <c r="D221" s="4" t="str">
        <f>HYPERLINK("https://www.ti.com/document-viewer/TPD4E002/datasheet", "HTML datasheet")</f>
        <v>HTML datasheet</v>
      </c>
      <c r="E221" s="3">
        <v>4</v>
      </c>
      <c r="F221" s="3" t="s">
        <v>586</v>
      </c>
      <c r="G221" s="3" t="s">
        <v>587</v>
      </c>
      <c r="H221" s="3">
        <v>25</v>
      </c>
      <c r="I221" s="3">
        <v>11</v>
      </c>
      <c r="J221" s="3">
        <v>15000</v>
      </c>
      <c r="K221" s="3">
        <v>2.5</v>
      </c>
      <c r="L221" s="3">
        <v>30</v>
      </c>
      <c r="M221" s="3">
        <v>9.1999999999999998E-2</v>
      </c>
      <c r="N221" s="3">
        <v>5</v>
      </c>
      <c r="O221" s="3" t="s">
        <v>588</v>
      </c>
    </row>
    <row r="222" spans="1:15" ht="20" customHeight="1" x14ac:dyDescent="0.35">
      <c r="A222" s="4" t="str">
        <f>HYPERLINK("https://www.ti.com/product/TPD4E001", "TPD4E001")</f>
        <v>TPD4E001</v>
      </c>
      <c r="B222" s="3">
        <v>5.5</v>
      </c>
      <c r="C222" s="4" t="str">
        <f>HYPERLINK("https://www.ti.com/lit/gpn/TPD4E001", "PDF datasheet")</f>
        <v>PDF datasheet</v>
      </c>
      <c r="D222" s="4" t="str">
        <f>HYPERLINK("https://www.ti.com/document-viewer/TPD4E001/datasheet", "HTML datasheet")</f>
        <v>HTML datasheet</v>
      </c>
      <c r="E222" s="3">
        <v>4</v>
      </c>
      <c r="F222" s="3" t="s">
        <v>589</v>
      </c>
      <c r="G222" s="3" t="s">
        <v>600</v>
      </c>
      <c r="H222" s="3">
        <v>100</v>
      </c>
      <c r="I222" s="3">
        <v>1.5</v>
      </c>
      <c r="J222" s="3">
        <v>8000</v>
      </c>
      <c r="K222" s="3">
        <v>5.5</v>
      </c>
      <c r="L222" s="3">
        <v>25</v>
      </c>
      <c r="M222" s="3">
        <v>8.2000000000000003E-2</v>
      </c>
      <c r="N222" s="3">
        <v>6</v>
      </c>
      <c r="O222" s="3" t="s">
        <v>590</v>
      </c>
    </row>
    <row r="223" spans="1:15" ht="20" customHeight="1" x14ac:dyDescent="0.35">
      <c r="A223" s="4" t="str">
        <f>HYPERLINK("https://www.ti.com/product/TPD6E001", "TPD6E001")</f>
        <v>TPD6E001</v>
      </c>
      <c r="B223" s="3">
        <v>5.5</v>
      </c>
      <c r="C223" s="4" t="str">
        <f>HYPERLINK("https://www.ti.com/lit/gpn/TPD6E001", "PDF datasheet")</f>
        <v>PDF datasheet</v>
      </c>
      <c r="D223" s="4" t="str">
        <f>HYPERLINK("https://www.ti.com/document-viewer/TPD6E001/datasheet", "HTML datasheet")</f>
        <v>HTML datasheet</v>
      </c>
      <c r="E223" s="3">
        <v>6</v>
      </c>
      <c r="F223" s="3" t="s">
        <v>591</v>
      </c>
      <c r="G223" s="3" t="s">
        <v>592</v>
      </c>
      <c r="H223" s="3">
        <v>100</v>
      </c>
      <c r="I223" s="3">
        <v>1.5</v>
      </c>
      <c r="J223" s="3">
        <v>8000</v>
      </c>
      <c r="K223" s="3"/>
      <c r="L223" s="3">
        <v>15</v>
      </c>
      <c r="M223" s="3">
        <v>0.17499999999999999</v>
      </c>
      <c r="N223" s="3" t="s">
        <v>593</v>
      </c>
      <c r="O223" s="3" t="s">
        <v>594</v>
      </c>
    </row>
    <row r="224" spans="1:15" ht="16.5" x14ac:dyDescent="0.35">
      <c r="A224" t="s">
        <v>603</v>
      </c>
      <c r="B224" s="3">
        <v>54</v>
      </c>
      <c r="E224" s="3">
        <v>2</v>
      </c>
      <c r="F224" s="3" t="s">
        <v>29</v>
      </c>
      <c r="G224" s="3" t="s">
        <v>46</v>
      </c>
      <c r="H224" s="3">
        <v>500</v>
      </c>
      <c r="I224" s="3">
        <v>1.9</v>
      </c>
      <c r="J224" s="3">
        <v>30000</v>
      </c>
      <c r="K224" s="3">
        <v>4.5</v>
      </c>
      <c r="L224" s="3">
        <v>76</v>
      </c>
      <c r="N224" s="3">
        <v>3</v>
      </c>
      <c r="O224" s="3" t="s">
        <v>28</v>
      </c>
    </row>
    <row r="225" spans="1:15" ht="16.5" x14ac:dyDescent="0.35">
      <c r="A225" t="s">
        <v>604</v>
      </c>
      <c r="B225" s="3">
        <v>60</v>
      </c>
      <c r="E225" s="3">
        <v>2</v>
      </c>
      <c r="F225" s="3" t="s">
        <v>29</v>
      </c>
      <c r="G225" s="3" t="s">
        <v>46</v>
      </c>
      <c r="H225" s="3">
        <v>500</v>
      </c>
      <c r="I225" s="3">
        <v>2</v>
      </c>
      <c r="J225" s="3">
        <v>25000</v>
      </c>
      <c r="K225" s="3">
        <v>4</v>
      </c>
      <c r="L225" s="3">
        <v>92</v>
      </c>
      <c r="N225" s="3">
        <v>3</v>
      </c>
      <c r="O225" s="3" t="s">
        <v>28</v>
      </c>
    </row>
    <row r="226" spans="1:15" ht="16.5" x14ac:dyDescent="0.35">
      <c r="A226" t="s">
        <v>605</v>
      </c>
      <c r="B226" s="3">
        <v>48</v>
      </c>
      <c r="E226" s="3">
        <v>2</v>
      </c>
      <c r="F226" s="3" t="s">
        <v>29</v>
      </c>
      <c r="G226" s="3" t="s">
        <v>46</v>
      </c>
      <c r="H226" s="3">
        <v>320</v>
      </c>
      <c r="I226" s="3">
        <v>1.4</v>
      </c>
      <c r="J226" s="3">
        <v>27000</v>
      </c>
      <c r="K226" s="3">
        <v>4</v>
      </c>
      <c r="L226" s="3">
        <v>73</v>
      </c>
      <c r="N226" s="3">
        <v>3</v>
      </c>
      <c r="O226" s="3" t="s">
        <v>28</v>
      </c>
    </row>
    <row r="227" spans="1:15" ht="16.5" x14ac:dyDescent="0.35">
      <c r="A227" t="s">
        <v>617</v>
      </c>
      <c r="B227" s="3">
        <v>27</v>
      </c>
      <c r="E227" s="3">
        <v>2</v>
      </c>
      <c r="F227" s="3" t="s">
        <v>29</v>
      </c>
      <c r="G227" s="3" t="s">
        <v>46</v>
      </c>
      <c r="H227" s="3">
        <v>175</v>
      </c>
      <c r="I227" s="3">
        <v>4.5</v>
      </c>
      <c r="J227" s="3">
        <v>300000</v>
      </c>
      <c r="K227" s="3">
        <v>4.3</v>
      </c>
      <c r="L227" s="3">
        <v>39</v>
      </c>
      <c r="N227" s="3">
        <v>3</v>
      </c>
      <c r="O227" s="3" t="s">
        <v>28</v>
      </c>
    </row>
    <row r="228" spans="1:15" ht="16.5" x14ac:dyDescent="0.35">
      <c r="A228" t="s">
        <v>606</v>
      </c>
      <c r="B228" s="3">
        <v>33</v>
      </c>
      <c r="E228" s="3">
        <v>1</v>
      </c>
      <c r="F228" s="3" t="s">
        <v>26</v>
      </c>
      <c r="G228" s="3" t="s">
        <v>607</v>
      </c>
      <c r="H228">
        <v>600</v>
      </c>
      <c r="J228" s="3">
        <v>30000</v>
      </c>
      <c r="K228" s="3">
        <v>11.5</v>
      </c>
      <c r="L228" s="3">
        <v>53</v>
      </c>
      <c r="N228" s="3">
        <v>2</v>
      </c>
      <c r="O228" s="3" t="s">
        <v>28</v>
      </c>
    </row>
    <row r="229" spans="1:15" ht="16.5" x14ac:dyDescent="0.35">
      <c r="A229" t="s">
        <v>608</v>
      </c>
      <c r="B229" s="3">
        <v>33</v>
      </c>
      <c r="E229" s="3">
        <v>1</v>
      </c>
      <c r="F229" s="3" t="s">
        <v>26</v>
      </c>
      <c r="G229" s="3" t="s">
        <v>607</v>
      </c>
      <c r="H229" s="3">
        <v>600</v>
      </c>
      <c r="J229" s="3">
        <v>30000</v>
      </c>
      <c r="K229" s="3">
        <v>11.5</v>
      </c>
      <c r="L229" s="3">
        <v>53</v>
      </c>
      <c r="N229" s="3">
        <v>2</v>
      </c>
      <c r="O229" s="3" t="s">
        <v>28</v>
      </c>
    </row>
    <row r="230" spans="1:15" ht="16.5" x14ac:dyDescent="0.35">
      <c r="A230" t="s">
        <v>609</v>
      </c>
      <c r="B230" s="3">
        <v>28</v>
      </c>
      <c r="E230" s="3">
        <v>1</v>
      </c>
      <c r="F230" s="3" t="s">
        <v>26</v>
      </c>
      <c r="G230" s="3" t="s">
        <v>607</v>
      </c>
      <c r="H230" s="3">
        <v>600</v>
      </c>
      <c r="J230" s="3">
        <v>30000</v>
      </c>
      <c r="K230" s="3">
        <v>13</v>
      </c>
      <c r="L230" s="3">
        <v>45.4</v>
      </c>
      <c r="N230" s="3">
        <v>2</v>
      </c>
      <c r="O230" s="3" t="s">
        <v>28</v>
      </c>
    </row>
    <row r="231" spans="1:15" ht="16.5" x14ac:dyDescent="0.35">
      <c r="A231" t="s">
        <v>610</v>
      </c>
      <c r="B231" s="3">
        <v>28</v>
      </c>
      <c r="E231" s="3">
        <v>1</v>
      </c>
      <c r="F231" s="3" t="s">
        <v>26</v>
      </c>
      <c r="G231" s="3" t="s">
        <v>607</v>
      </c>
      <c r="H231" s="3">
        <v>600</v>
      </c>
      <c r="J231" s="3">
        <v>30000</v>
      </c>
      <c r="K231" s="3">
        <v>13</v>
      </c>
      <c r="L231" s="3">
        <v>45.4</v>
      </c>
      <c r="N231" s="3">
        <v>2</v>
      </c>
      <c r="O231" s="3" t="s">
        <v>28</v>
      </c>
    </row>
    <row r="232" spans="1:15" ht="16.5" x14ac:dyDescent="0.35">
      <c r="A232" t="s">
        <v>611</v>
      </c>
      <c r="B232" s="3">
        <v>12</v>
      </c>
      <c r="E232" s="3">
        <v>1</v>
      </c>
      <c r="F232" s="3" t="s">
        <v>29</v>
      </c>
      <c r="G232" s="3" t="s">
        <v>27</v>
      </c>
      <c r="H232" s="3">
        <v>200</v>
      </c>
      <c r="I232">
        <v>2.8</v>
      </c>
      <c r="J232" s="3">
        <v>30000</v>
      </c>
      <c r="K232" s="3">
        <v>7</v>
      </c>
      <c r="L232" s="3">
        <v>30.2</v>
      </c>
      <c r="N232" s="3">
        <v>2</v>
      </c>
      <c r="O232" s="3" t="s">
        <v>28</v>
      </c>
    </row>
    <row r="233" spans="1:15" ht="16.5" x14ac:dyDescent="0.35">
      <c r="A233" t="s">
        <v>612</v>
      </c>
      <c r="B233" s="3">
        <v>12</v>
      </c>
      <c r="E233" s="3">
        <v>1</v>
      </c>
      <c r="F233" s="3" t="s">
        <v>29</v>
      </c>
      <c r="G233" s="3" t="s">
        <v>27</v>
      </c>
      <c r="H233" s="3">
        <v>200</v>
      </c>
      <c r="I233">
        <v>2.8</v>
      </c>
      <c r="J233" s="3">
        <v>30000</v>
      </c>
      <c r="K233" s="3">
        <v>7</v>
      </c>
      <c r="L233" s="3">
        <v>30.2</v>
      </c>
      <c r="N233" s="3">
        <v>2</v>
      </c>
      <c r="O233" s="3" t="s">
        <v>28</v>
      </c>
    </row>
    <row r="234" spans="1:15" ht="16.5" x14ac:dyDescent="0.35">
      <c r="A234" t="s">
        <v>613</v>
      </c>
      <c r="B234" s="3">
        <v>12</v>
      </c>
      <c r="E234" s="3">
        <v>2</v>
      </c>
      <c r="F234" s="3" t="s">
        <v>26</v>
      </c>
      <c r="G234" s="3" t="s">
        <v>46</v>
      </c>
      <c r="H234" s="3">
        <v>40</v>
      </c>
      <c r="I234">
        <v>137</v>
      </c>
      <c r="J234" s="3">
        <v>30000</v>
      </c>
      <c r="K234" s="3">
        <v>1.9</v>
      </c>
      <c r="L234" s="3">
        <v>21</v>
      </c>
      <c r="N234" s="3">
        <v>3</v>
      </c>
      <c r="O234" s="3" t="s">
        <v>28</v>
      </c>
    </row>
    <row r="235" spans="1:15" ht="16.5" x14ac:dyDescent="0.35">
      <c r="A235" t="s">
        <v>614</v>
      </c>
      <c r="B235" s="3">
        <v>12</v>
      </c>
      <c r="E235" s="3">
        <v>2</v>
      </c>
      <c r="F235" s="3" t="s">
        <v>26</v>
      </c>
      <c r="G235" s="3" t="s">
        <v>46</v>
      </c>
      <c r="H235" s="3">
        <v>40</v>
      </c>
      <c r="I235">
        <v>137</v>
      </c>
      <c r="J235" s="3">
        <v>30000</v>
      </c>
      <c r="K235" s="3">
        <v>1.9</v>
      </c>
      <c r="L235" s="3">
        <v>21</v>
      </c>
      <c r="N235" s="3">
        <v>3</v>
      </c>
      <c r="O235" s="3" t="s">
        <v>28</v>
      </c>
    </row>
    <row r="236" spans="1:15" ht="16.5" x14ac:dyDescent="0.35">
      <c r="A236" t="s">
        <v>615</v>
      </c>
      <c r="B236" s="3">
        <v>22</v>
      </c>
      <c r="E236" s="3">
        <v>2</v>
      </c>
      <c r="F236" s="3" t="s">
        <v>26</v>
      </c>
      <c r="G236" s="3" t="s">
        <v>46</v>
      </c>
      <c r="H236" s="3">
        <v>35</v>
      </c>
      <c r="I236">
        <v>90</v>
      </c>
      <c r="J236" s="3">
        <v>30000</v>
      </c>
      <c r="K236" s="3">
        <v>1</v>
      </c>
      <c r="L236" s="3">
        <v>38</v>
      </c>
      <c r="N236" s="3">
        <v>3</v>
      </c>
      <c r="O236" s="3" t="s">
        <v>28</v>
      </c>
    </row>
    <row r="237" spans="1:15" ht="16.5" x14ac:dyDescent="0.35">
      <c r="A237" t="s">
        <v>616</v>
      </c>
      <c r="B237" s="3">
        <v>22</v>
      </c>
      <c r="E237" s="3">
        <v>2</v>
      </c>
      <c r="F237" s="3" t="s">
        <v>26</v>
      </c>
      <c r="G237" s="3" t="s">
        <v>46</v>
      </c>
      <c r="H237" s="3">
        <v>35</v>
      </c>
      <c r="I237">
        <v>90</v>
      </c>
      <c r="J237" s="3">
        <v>30000</v>
      </c>
      <c r="K237" s="3">
        <v>1</v>
      </c>
      <c r="L237" s="3">
        <v>38</v>
      </c>
      <c r="N237" s="3">
        <v>3</v>
      </c>
      <c r="O237" s="3" t="s">
        <v>28</v>
      </c>
    </row>
  </sheetData>
  <mergeCells count="2">
    <mergeCell ref="A2:P2"/>
    <mergeCell ref="A4:B4"/>
  </mergeCells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Shreya Veeredhi</cp:lastModifiedBy>
  <dcterms:created xsi:type="dcterms:W3CDTF">2026-06-29T16:10:31Z</dcterms:created>
  <dcterms:modified xsi:type="dcterms:W3CDTF">2026-09-19T21:36:03Z</dcterms:modified>
</cp:coreProperties>
</file>