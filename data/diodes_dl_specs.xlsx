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'Worksheet'!$A$1:$P$567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<sst xmlns="http://schemas.openxmlformats.org/spreadsheetml/2006/main" uniqueCount="836">
  <si>
    <t>Part Number</t>
  </si>
  <si>
    <t>Datasheet or Product Brief</t>
  </si>
  <si>
    <t>Product Page</t>
  </si>
  <si>
    <t>Description</t>
  </si>
  <si>
    <r>
      <rPr>
        <rFont val="Arial"/>
        <b val="true"/>
        <i val="false"/>
        <strike val="false"/>
        <color rgb="FF000000"/>
        <sz val="8"/>
        <u val="none"/>
      </rPr>
      <t xml:space="preserve">Compliance (Only Automotive Supports PPAP)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</si>
  <si>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AEC Qualified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</si>
  <si>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Channels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</si>
  <si>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Configuration</t>
    </r>
  </si>
  <si>
    <r>
      <rPr>
        <rFont val="Arial"/>
        <b val="true"/>
        <i val="false"/>
        <strike val="false"/>
        <color rgb="FF000000"/>
        <sz val="8"/>
        <u val="none"/>
      </rPr>
      <t xml:space="preserve">Channel Input CapacitanceC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T</t>
    </r>
    <r>
      <rPr>
        <rFont val="Arial"/>
        <b val="true"/>
        <i val="false"/>
        <strike val="false"/>
        <color rgb="FF000000"/>
        <sz val="8"/>
        <u val="none"/>
      </rPr>
      <t xml:space="preserve"> Typ (pF)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</si>
  <si>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Reverse Standoff Voltage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RWM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</si>
  <si>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Breakdown VoltageV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BR</t>
    </r>
    <r>
      <rPr>
        <rFont val="Arial"/>
        <b val="true"/>
        <i val="false"/>
        <strike val="false"/>
        <color rgb="FF000000"/>
        <sz val="8"/>
        <u val="none"/>
      </rPr>
      <t xml:space="preserve"> Min(V)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</si>
  <si>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Typ Reverse Leakage Current I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</t>
    </r>
    <r>
      <rPr>
        <rFont val="Arial"/>
        <b val="true"/>
        <i val="false"/>
        <strike val="false"/>
        <color rgb="FF000000"/>
        <sz val="8"/>
        <u val="none"/>
      </rPr>
      <t xml:space="preserve"> @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RWM Max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(µA)</t>
    </r>
  </si>
  <si>
    <r>
      <rPr>
        <rFont val="Arial"/>
        <b val="true"/>
        <i val="false"/>
        <strike val="false"/>
        <color rgb="FF000000"/>
        <sz val="8"/>
        <u val="none"/>
      </rPr>
      <t xml:space="preserve">Maximum Peak Pulse Current IPP @ 8x20μs Max</t>
    </r>
  </si>
  <si>
    <r>
      <rPr>
        <rFont val="Arial"/>
        <b val="true"/>
        <i val="false"/>
        <strike val="false"/>
        <color rgb="FF000000"/>
        <sz val="8"/>
        <u val="none"/>
      </rPr>
      <t xml:space="preserve">Maximum Clamping Voltage @ Max Peak Pulse Current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C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 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</si>
  <si>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VESD IEC61000-4-2 Contact Discharge(kV)</t>
    </r>
  </si>
  <si>
    <t>Packages</t>
  </si>
  <si>
    <t>D10V0H1U2LP</t>
  </si>
  <si>
    <t>1 Channel Uni-Directional TVS</t>
  </si>
  <si>
    <t>Standard</t>
  </si>
  <si>
    <t>No</t>
  </si>
  <si>
    <t>Single (Uni-Directional)</t>
  </si>
  <si>
    <t>±30</t>
  </si>
  <si>
    <t>X1-DFN1006-2</t>
  </si>
  <si>
    <t>D10V0S1U3LP20</t>
  </si>
  <si>
    <t>One Channel High Surge TVS Diode</t>
  </si>
  <si>
    <t>U-DFN2020-3, U-DFN2020-3 (Type C)</t>
  </si>
  <si>
    <t>D10V0X1B2LP</t>
  </si>
  <si>
    <t>10V Ultra Low Capacitance Bi-Directional TVS Diode</t>
  </si>
  <si>
    <t>Single (Bi-Directional)</t>
  </si>
  <si>
    <t>±20</t>
  </si>
  <si>
    <t>D10V0X1B2LP4Q</t>
  </si>
  <si>
    <t>Ultra-Low Capacitance Bi-Directional TVS Diode</t>
  </si>
  <si>
    <t>Automotive</t>
  </si>
  <si>
    <t>Yes</t>
  </si>
  <si>
    <t>X2-DFN1006-2</t>
  </si>
  <si>
    <t>D10V0X1B2LPQ</t>
  </si>
  <si>
    <t>D1213A-01LP</t>
  </si>
  <si>
    <t>±8</t>
  </si>
  <si>
    <t>D1213A-01LP4</t>
  </si>
  <si>
    <t>D1213A-01LPQ</t>
  </si>
  <si>
    <t>1 Channel Low Capacitance TVS Diode Array</t>
  </si>
  <si>
    <t>D1213A-01SO</t>
  </si>
  <si>
    <t>±0.1</t>
  </si>
  <si>
    <t>SOT23</t>
  </si>
  <si>
    <t>D1213A-01T</t>
  </si>
  <si>
    <t>SOD523</t>
  </si>
  <si>
    <t>D1213A-01W</t>
  </si>
  <si>
    <t>1-Channel Low Capacitance TVS Diode Array</t>
  </si>
  <si>
    <t>SOT323</t>
  </si>
  <si>
    <t>D1213A-01WQ</t>
  </si>
  <si>
    <t>D1213A-01WS</t>
  </si>
  <si>
    <t>SOD323</t>
  </si>
  <si>
    <t>D1213A-01WSQ</t>
  </si>
  <si>
    <t>One Channel Low Capacitance TVS Diode Array</t>
  </si>
  <si>
    <t>±25</t>
  </si>
  <si>
    <t>D1213A-02S</t>
  </si>
  <si>
    <t>Dual (Uni-Directional)</t>
  </si>
  <si>
    <t>SOT353</t>
  </si>
  <si>
    <t>D1213A-02SM</t>
  </si>
  <si>
    <t>SOT25</t>
  </si>
  <si>
    <t>D1213A-02SO</t>
  </si>
  <si>
    <t>SOT26</t>
  </si>
  <si>
    <t>D1213A-02SOL</t>
  </si>
  <si>
    <t>D1213A-02SOLQ</t>
  </si>
  <si>
    <t>2 Channel Low Capacitance TVS Diode Array</t>
  </si>
  <si>
    <t>D1213A-02SR</t>
  </si>
  <si>
    <t>SOT143</t>
  </si>
  <si>
    <t>D1213A-02WL</t>
  </si>
  <si>
    <t>D1213A-02WLQ</t>
  </si>
  <si>
    <t>D1213A-04MR</t>
  </si>
  <si>
    <t>Quad (Uni-Directional)</t>
  </si>
  <si>
    <t>MSOP-10</t>
  </si>
  <si>
    <t>D1213A-04S</t>
  </si>
  <si>
    <t>4 Channel Low Capacitance TVS Diode Array</t>
  </si>
  <si>
    <t>SOT363</t>
  </si>
  <si>
    <t>D1213A-04SO</t>
  </si>
  <si>
    <t>D1213A-04TS</t>
  </si>
  <si>
    <t>TSOT26</t>
  </si>
  <si>
    <t>D1213A-04TSQ</t>
  </si>
  <si>
    <t>Four-Channel Low Capacitance TVS Diode Array</t>
  </si>
  <si>
    <t>D1213A-04V</t>
  </si>
  <si>
    <t>SOT563</t>
  </si>
  <si>
    <t>D1213A-04VQ</t>
  </si>
  <si>
    <t>4 ChannelS Low Capacitance TVS Diode Array</t>
  </si>
  <si>
    <t>D12V0H1U2LP</t>
  </si>
  <si>
    <t>D12V0H1U2LP1610</t>
  </si>
  <si>
    <t>12V Uni-Directional TVS Diode</t>
  </si>
  <si>
    <t>U-DFN1610-2 (Type B)</t>
  </si>
  <si>
    <t>D12V0H1U2WS</t>
  </si>
  <si>
    <t>D12V0H1U2WSQ</t>
  </si>
  <si>
    <t>D12V0H2U3SO</t>
  </si>
  <si>
    <t>Dual ESD Protection Diodes</t>
  </si>
  <si>
    <t>D12V0HA1U2LP</t>
  </si>
  <si>
    <t>D12V0HA1U2LPQ</t>
  </si>
  <si>
    <t>D12V0HA1U2SLP</t>
  </si>
  <si>
    <t>1 ChannelS Uni-Directional TVS</t>
  </si>
  <si>
    <t>X1-DFN1006-2 (Type SA)</t>
  </si>
  <si>
    <t>D12V0L1B2LP</t>
  </si>
  <si>
    <t>D12V0M1U2LP3</t>
  </si>
  <si>
    <t>7V Uni-Directional TVS Diode</t>
  </si>
  <si>
    <t>X3-DFN0603-2</t>
  </si>
  <si>
    <t>D12V0M1U2S9</t>
  </si>
  <si>
    <t>SOD923 (0.3mm Lead Width)</t>
  </si>
  <si>
    <t>D12V0M1U2S9Q</t>
  </si>
  <si>
    <t>D12V0M1U2T</t>
  </si>
  <si>
    <t>1-Channel Uni-Directional TVS</t>
  </si>
  <si>
    <t>D12V0M2U3SLP</t>
  </si>
  <si>
    <t>2 Channels Uni-Directional TVS Diode</t>
  </si>
  <si>
    <t>X1-DFN1006-3 (Type SA)</t>
  </si>
  <si>
    <t>D12V0S1U2LP1608</t>
  </si>
  <si>
    <t>U-DFN1608-2, U-DFN1608-2 (Type C)</t>
  </si>
  <si>
    <t>D12V0S1U2LP1610</t>
  </si>
  <si>
    <t>D12V0S1U2LP1610Q</t>
  </si>
  <si>
    <t>One-Channel High Surge TVS Diode</t>
  </si>
  <si>
    <t>D12V0S1U3LP20</t>
  </si>
  <si>
    <t>D12V0X1B2CSP</t>
  </si>
  <si>
    <t>Low Capacitance Bi-Directional TVS Diode</t>
  </si>
  <si>
    <t>±14</t>
  </si>
  <si>
    <t>X2-DSN0603-2</t>
  </si>
  <si>
    <t>D12V0X1B2LP</t>
  </si>
  <si>
    <t>12V Ultra Low Capacitance Bi-Directional TVS Diode</t>
  </si>
  <si>
    <t>D12V0X1B2LP4Q</t>
  </si>
  <si>
    <t>D12V0X1B2LPQ</t>
  </si>
  <si>
    <t>D13AP2WF</t>
  </si>
  <si>
    <t>225W Surface Mount Transient Voltage Suppressor</t>
  </si>
  <si>
    <t>SOD123F</t>
  </si>
  <si>
    <t>D14V0H1U2LP</t>
  </si>
  <si>
    <t>14V Uni-Directional TVS Diode</t>
  </si>
  <si>
    <t>D14V0H1U2LP1610</t>
  </si>
  <si>
    <t>1 Channel High Surge TVS Diode</t>
  </si>
  <si>
    <t>D14V0H1U2WS</t>
  </si>
  <si>
    <t>D14V0S1U2WS</t>
  </si>
  <si>
    <t>D15V0H1U2LP</t>
  </si>
  <si>
    <t>D15V0H1U2LP16</t>
  </si>
  <si>
    <t>15V Uni-Directional TVS Diode</t>
  </si>
  <si>
    <t>U-DFN1616-2</t>
  </si>
  <si>
    <t>D15V0HA1U2LP</t>
  </si>
  <si>
    <t>D15V0M1U2LP3</t>
  </si>
  <si>
    <t>D15V0M2U3SLP</t>
  </si>
  <si>
    <t>D15V0R1B2LP</t>
  </si>
  <si>
    <t>D15V0S1U2LP1608</t>
  </si>
  <si>
    <t>D15V0S1U2LP1608A</t>
  </si>
  <si>
    <t>D15V0S1U2LP1610</t>
  </si>
  <si>
    <t>D15V0S1U2LP1610Q</t>
  </si>
  <si>
    <t>D15V0S1U3LP20</t>
  </si>
  <si>
    <t>D15V0X1B2LP</t>
  </si>
  <si>
    <t>15V Ultra Low Capacitance Bi-Directional TVS Diode</t>
  </si>
  <si>
    <t>D15V0X1B2LP4Q</t>
  </si>
  <si>
    <t>D15V0X1B2LPQ</t>
  </si>
  <si>
    <t>D18AP2WF</t>
  </si>
  <si>
    <t>SOD123F, SOD123F (Type B)</t>
  </si>
  <si>
    <t>D18V0H1U2LP</t>
  </si>
  <si>
    <t>18V Uni-Directional TVS Diode</t>
  </si>
  <si>
    <t>D18V0L1B2LP</t>
  </si>
  <si>
    <t>±15</t>
  </si>
  <si>
    <t>D18V0L1B2LPQ</t>
  </si>
  <si>
    <t>18V Bi-Directional TVS Diode</t>
  </si>
  <si>
    <t>D18V0S1U2LP1610</t>
  </si>
  <si>
    <t>D18V0S1U3LP20</t>
  </si>
  <si>
    <t>D18V0X1B2LP</t>
  </si>
  <si>
    <t>18V Ultra Low Capacitance Bi-Directional TVS Diode</t>
  </si>
  <si>
    <t>D18V0X1B2LP4Q</t>
  </si>
  <si>
    <t>D18V0X1B2LPQ</t>
  </si>
  <si>
    <t>8V Ultra Low Capacitance Bi-Directional TVS Diode</t>
  </si>
  <si>
    <t>D18V0Z1B2LPQ</t>
  </si>
  <si>
    <t>Ultra-Low-Capacitance Bi-Directional TVS Diode</t>
  </si>
  <si>
    <t>D1V8L1BS2LP3</t>
  </si>
  <si>
    <t>1 Channel Bi-Directional TVS</t>
  </si>
  <si>
    <t>D1V8L1BS2LP3Q</t>
  </si>
  <si>
    <t>1-Channel Bi-Directional TVS</t>
  </si>
  <si>
    <t>D20V0H1U2LP</t>
  </si>
  <si>
    <t>20V Uni-Directional TVS Diode</t>
  </si>
  <si>
    <t>D20V0L1B2LP</t>
  </si>
  <si>
    <t>20V Bi-Directional TVS Diode</t>
  </si>
  <si>
    <t>D20V0L1B2LP3</t>
  </si>
  <si>
    <t>X2-DFN0603-2, X3-DFN0603-2</t>
  </si>
  <si>
    <t>D20V0L1B2WS</t>
  </si>
  <si>
    <t>D20V0L1B2WSQ</t>
  </si>
  <si>
    <t>D20V0M2U3LP4</t>
  </si>
  <si>
    <t>20V 2-CH Uni-Directional TVS Diode Array</t>
  </si>
  <si>
    <t>X2-DFN1006-3</t>
  </si>
  <si>
    <t>D20V0S1U2LP1610</t>
  </si>
  <si>
    <t>D20V0S1U2LP1610Q</t>
  </si>
  <si>
    <t>D20V0S1U2LP20</t>
  </si>
  <si>
    <t>1 Channel of ESD Protection</t>
  </si>
  <si>
    <t>U-DFN2020-2</t>
  </si>
  <si>
    <t>D20V0S1U3LP20</t>
  </si>
  <si>
    <t>D22V0H1U2LP</t>
  </si>
  <si>
    <t>22V Uni-Directional TVS Diode</t>
  </si>
  <si>
    <t>D22V0H1U2LP1610</t>
  </si>
  <si>
    <t>D22V0M1U2LP</t>
  </si>
  <si>
    <t>1 Channel Uni-Directional TVS Diode</t>
  </si>
  <si>
    <t>D22V0S1U2LP1610</t>
  </si>
  <si>
    <t>D22V0S1U2LP20</t>
  </si>
  <si>
    <t>D22V0S1U2WS</t>
  </si>
  <si>
    <t>D22V0S1U3LP20</t>
  </si>
  <si>
    <t>D22V0S1U6LP2018</t>
  </si>
  <si>
    <t>U-DFN1820-6 (Type A), U-DFN2018-6</t>
  </si>
  <si>
    <t>D24V0F2U3WQ</t>
  </si>
  <si>
    <t>±10</t>
  </si>
  <si>
    <t>D24V0H1U2LP</t>
  </si>
  <si>
    <t>24V Uni-Directional TVS Diode</t>
  </si>
  <si>
    <t>D24V0H2U3SO</t>
  </si>
  <si>
    <t>D24V0L1B2LP</t>
  </si>
  <si>
    <t>24V Bi-Directional TVS Diode</t>
  </si>
  <si>
    <t>D24V0L1B2LPS</t>
  </si>
  <si>
    <t>U-DFN1006-2 (SWP), X1-DFN1006-2</t>
  </si>
  <si>
    <t>D24V0L1B2LPSQ</t>
  </si>
  <si>
    <t>D24V0LA1B2LPQ</t>
  </si>
  <si>
    <t>D24V0P1BS2TQ</t>
  </si>
  <si>
    <t>Single-Channel Bi-Directional TVS Diode</t>
  </si>
  <si>
    <t>D24V0S1B2TQ</t>
  </si>
  <si>
    <t>SINGLE Channel Bi-Directional TVS Diode</t>
  </si>
  <si>
    <t>±22</t>
  </si>
  <si>
    <t>D24V0S1U2LP1610</t>
  </si>
  <si>
    <t>D24V0S1U2LP1610Q</t>
  </si>
  <si>
    <t>D24V0S1U2T</t>
  </si>
  <si>
    <t>Single-Channel Uni-Directional TVS Diode</t>
  </si>
  <si>
    <t>D24V0S1U2TQ</t>
  </si>
  <si>
    <t>SINGLE Channel Uni-Directional TVS Diode</t>
  </si>
  <si>
    <t>D24V0S1U3LP20</t>
  </si>
  <si>
    <t>D24V0S1UG3LP20</t>
  </si>
  <si>
    <t>U-DFN2020-3 (Type C)</t>
  </si>
  <si>
    <t>D24V0X1B2LP</t>
  </si>
  <si>
    <t>24V Ultra-Low Capacitance Bi-Directional TVS Diode</t>
  </si>
  <si>
    <t>±18</t>
  </si>
  <si>
    <t>D24V0X1B2LP4Q</t>
  </si>
  <si>
    <t>24V Ultra Low Capacitance Bi-Directional TVS Diode</t>
  </si>
  <si>
    <t>D24V0X1B2LPQ</t>
  </si>
  <si>
    <t>D26V0H1U2LP16</t>
  </si>
  <si>
    <t>26V Uni-Directional TVS Diode</t>
  </si>
  <si>
    <t>D26V0H1U2LP20</t>
  </si>
  <si>
    <t>D26V0S1U2LP20</t>
  </si>
  <si>
    <t>D26V0S1U3LP20</t>
  </si>
  <si>
    <t>D28V0H1U2P5Q</t>
  </si>
  <si>
    <t>1800W Surface Mount Transient Voltage Suppressor PowerDI5</t>
  </si>
  <si>
    <t>PowerDI-5</t>
  </si>
  <si>
    <t>D28V0S1U2LP1610</t>
  </si>
  <si>
    <t>D28V0S1U3LP20</t>
  </si>
  <si>
    <t>D2V5F4U8MR</t>
  </si>
  <si>
    <t>ESD Protection Diodes</t>
  </si>
  <si>
    <t>Quad (Neither Uni or Bi-Directional)</t>
  </si>
  <si>
    <t>SO-8</t>
  </si>
  <si>
    <t>D2V5H1BS2LP</t>
  </si>
  <si>
    <t>D2V5H1BS2LP4</t>
  </si>
  <si>
    <t>D2V5L1BS2LP</t>
  </si>
  <si>
    <t>1 Channel Bi-Directional TVS Diodes</t>
  </si>
  <si>
    <t>D2V5L1BS2LP3</t>
  </si>
  <si>
    <t>D2V5L1BS2LP3Q</t>
  </si>
  <si>
    <t>D2V5L1BS2LP4</t>
  </si>
  <si>
    <t>D2V5L4U8MR</t>
  </si>
  <si>
    <t>D2V8F4U8MR</t>
  </si>
  <si>
    <t>D30V0S1U3LP20</t>
  </si>
  <si>
    <t>D30V0S1UG3LP20</t>
  </si>
  <si>
    <t>D33V0S1U2LP1608</t>
  </si>
  <si>
    <t>D33V0S1U2LP1610</t>
  </si>
  <si>
    <t>D33V0S1UG3LP20</t>
  </si>
  <si>
    <t>D34V0H1U2LP</t>
  </si>
  <si>
    <t>34V Uni-Directional TVS Diode</t>
  </si>
  <si>
    <t>D36V0L1B2LP</t>
  </si>
  <si>
    <t>D36V0L1B2LPQ</t>
  </si>
  <si>
    <t>D36V0S1U2LP1610</t>
  </si>
  <si>
    <t>D36V0S1U2LP1610Q</t>
  </si>
  <si>
    <t>D36V0S1U3LP20</t>
  </si>
  <si>
    <t>D3V3AP2WF</t>
  </si>
  <si>
    <t>D3V3F2UD3LP</t>
  </si>
  <si>
    <t>2-Channel Low-Capacitance Uni-Directional TVS Array</t>
  </si>
  <si>
    <t>X1-DFN1006-3</t>
  </si>
  <si>
    <t>D3V3F4U10LP</t>
  </si>
  <si>
    <t>4-Channel Low Capacitance ESD Protection Array</t>
  </si>
  <si>
    <t>±12</t>
  </si>
  <si>
    <t>U-DFN2510-10</t>
  </si>
  <si>
    <t>D3V3F4U10LPQ</t>
  </si>
  <si>
    <t>D3V3F4U6S</t>
  </si>
  <si>
    <t>D3V3F4U8MR</t>
  </si>
  <si>
    <t>D3V3F8U9LP3810</t>
  </si>
  <si>
    <t>8 Channel Low Capacitance TVS Diode Array</t>
  </si>
  <si>
    <t>Octal (Uni-Directional)</t>
  </si>
  <si>
    <t>U-DFN3810-9 (Type B)</t>
  </si>
  <si>
    <t>D3V3FA4U10LP</t>
  </si>
  <si>
    <t>D3V3H1B2LP</t>
  </si>
  <si>
    <t>High Surge Bi-Directional TVS Diode</t>
  </si>
  <si>
    <t>D3V3H1B2LPQ</t>
  </si>
  <si>
    <t>D3V3H1U2LP</t>
  </si>
  <si>
    <t>3.3V Uni-Directional TVS Diode</t>
  </si>
  <si>
    <t>D3V3H1U2LPQ</t>
  </si>
  <si>
    <t>D3V3HN1B2LP</t>
  </si>
  <si>
    <t>U-DFN1006-2 (Type B)</t>
  </si>
  <si>
    <t>D3V3L1B2LP3</t>
  </si>
  <si>
    <t>3.3V Bi-Directional TVS Diode</t>
  </si>
  <si>
    <t>D3V3L1B2LP3Q</t>
  </si>
  <si>
    <t>D3V3L1B2T</t>
  </si>
  <si>
    <t>±26</t>
  </si>
  <si>
    <t>D3V3L1B2WS</t>
  </si>
  <si>
    <t>D3V3L2B3LP10</t>
  </si>
  <si>
    <t>Dual (Bi-Directional)</t>
  </si>
  <si>
    <t>±23</t>
  </si>
  <si>
    <t>X2-DFN1010-3</t>
  </si>
  <si>
    <t>D3V3L2BS3LP</t>
  </si>
  <si>
    <t>2 ChannelS Bi-Directional TVS</t>
  </si>
  <si>
    <t>D3V3L2BS3LPQ</t>
  </si>
  <si>
    <t>2 Channels Bi-Directional TVS</t>
  </si>
  <si>
    <t>D3V3L4BS4LP1308</t>
  </si>
  <si>
    <t>4 ChannelS Bi-Directional TVS</t>
  </si>
  <si>
    <t>Quad (Bi-Directional)</t>
  </si>
  <si>
    <t>X1-DFN1308-6 (Type A)</t>
  </si>
  <si>
    <t>D3V3L4U8MR</t>
  </si>
  <si>
    <t>D3V3M1U2LP3</t>
  </si>
  <si>
    <t>D3V3M1U2S9</t>
  </si>
  <si>
    <t>D3V3M1U2S9Q</t>
  </si>
  <si>
    <t>D3V3M2B3SO</t>
  </si>
  <si>
    <t>2-Channel ESD Protection Diode</t>
  </si>
  <si>
    <t>±27</t>
  </si>
  <si>
    <t>D3V3P4U10LP26</t>
  </si>
  <si>
    <t>U-DFN2626-10</t>
  </si>
  <si>
    <t>D3V3Q1B2LP3</t>
  </si>
  <si>
    <t>D3V3S1B2LP</t>
  </si>
  <si>
    <t>D3V3S1U2LP1610</t>
  </si>
  <si>
    <t>D3V3S1U2LP1610Q</t>
  </si>
  <si>
    <t>D3V3X4U10LP</t>
  </si>
  <si>
    <t>D3V3X4U10LPQ</t>
  </si>
  <si>
    <t>D3V3X8U9LP3810</t>
  </si>
  <si>
    <t>D3V3XA4B10LP</t>
  </si>
  <si>
    <t>D3V3XS4B10LP</t>
  </si>
  <si>
    <t>D3V3Z1B2LP</t>
  </si>
  <si>
    <t>D3V3Z1B2LP3</t>
  </si>
  <si>
    <t>X2-DFN0603-2</t>
  </si>
  <si>
    <t>D3V3Z1B2LPQ</t>
  </si>
  <si>
    <t>D3V3Z1B2LPSQ</t>
  </si>
  <si>
    <t>U-DFN1006-2 (SWP)</t>
  </si>
  <si>
    <t>D3V3Z1BD2CSP</t>
  </si>
  <si>
    <t>D3V3Z1BD2CSPQ</t>
  </si>
  <si>
    <t>D3V3Z4BD10LPQ</t>
  </si>
  <si>
    <t>D3V3ZF1BD2CSP</t>
  </si>
  <si>
    <t>D40V0S1U2LP1608</t>
  </si>
  <si>
    <t>D40V0S1U2LP1608Q</t>
  </si>
  <si>
    <t>D40V0S1U2LP1610</t>
  </si>
  <si>
    <t>D48V0S1U2LP1610</t>
  </si>
  <si>
    <t>D48V0S1U3LP20</t>
  </si>
  <si>
    <t>D4V5H1BS2LP</t>
  </si>
  <si>
    <t>D4V5H1BS2LP4</t>
  </si>
  <si>
    <t>One Channel Bi-Directional TVS</t>
  </si>
  <si>
    <t>D4V5H1U2LP1610</t>
  </si>
  <si>
    <t>D4V5H1U2LP1610Q</t>
  </si>
  <si>
    <t>D4V7S1US2SLP</t>
  </si>
  <si>
    <t>X1-DFN1006-2 (Type SA-2)</t>
  </si>
  <si>
    <t>D50V0S1U2LP1608</t>
  </si>
  <si>
    <t>D50V0S1U2LP1610</t>
  </si>
  <si>
    <t>D55V0M1B2WS</t>
  </si>
  <si>
    <t>D55V0M1B2WSQ</t>
  </si>
  <si>
    <t>55V Bi-Directional TVS Diode</t>
  </si>
  <si>
    <t>D58V0M4U8MR</t>
  </si>
  <si>
    <t>D5V0AP2WF</t>
  </si>
  <si>
    <t>D5V0F1B2WS</t>
  </si>
  <si>
    <t>Ultra-Low Capacitance Bi-Directional TVS</t>
  </si>
  <si>
    <t>D5V0F1U2LP</t>
  </si>
  <si>
    <t>D5V0F1U2LP3</t>
  </si>
  <si>
    <t>D5V0F1U2LP3Q</t>
  </si>
  <si>
    <t>Low Capacitance Uni-Directional TVS Diode</t>
  </si>
  <si>
    <t>D5V0F1U2LPQ</t>
  </si>
  <si>
    <t>D5V0F1U2S9</t>
  </si>
  <si>
    <t>D5V0F1U2S9Q</t>
  </si>
  <si>
    <t>Low Capacitance Bi-Directional TVS Diodes</t>
  </si>
  <si>
    <t>D5V0F2U3LP</t>
  </si>
  <si>
    <t>D5V0F2U3LP08</t>
  </si>
  <si>
    <t>X2-DFN0806-3</t>
  </si>
  <si>
    <t>D5V0F2U3LPQ</t>
  </si>
  <si>
    <t>D5V0F2U3WQ</t>
  </si>
  <si>
    <t>D5V0F2U6LP</t>
  </si>
  <si>
    <t>U-DFN1610-6, U-DFN1616-6</t>
  </si>
  <si>
    <t>D5V0F3B6LP20</t>
  </si>
  <si>
    <t>USB2.0 and VBUS TVS Diode Array</t>
  </si>
  <si>
    <t>Triple (Bi-Directional)</t>
  </si>
  <si>
    <t>U-DFN2020-6</t>
  </si>
  <si>
    <t>D5V0F4U10LP</t>
  </si>
  <si>
    <t>D5V0F4U10MR</t>
  </si>
  <si>
    <t>D5V0F4U5P5</t>
  </si>
  <si>
    <t>SOT953</t>
  </si>
  <si>
    <t>D5V0F4U6S</t>
  </si>
  <si>
    <t>D5V0F4U6SO</t>
  </si>
  <si>
    <t>D5V0F4U6V</t>
  </si>
  <si>
    <t>D5V0F6U8LP33</t>
  </si>
  <si>
    <t>Hexa (Uni-Directional)</t>
  </si>
  <si>
    <t>X1-DFN3313-8</t>
  </si>
  <si>
    <t>D5V0FA1B2WS</t>
  </si>
  <si>
    <t>D5V0FS4U10LP</t>
  </si>
  <si>
    <t>D5V0H1B2LP</t>
  </si>
  <si>
    <t>5V Bi-Directional TVS Diode</t>
  </si>
  <si>
    <t>D5V0H1B2LPQ</t>
  </si>
  <si>
    <t>D5V0H1U2LP</t>
  </si>
  <si>
    <t>D5V0H1U2LP1610</t>
  </si>
  <si>
    <t>D5V0H1U2LP1610Q</t>
  </si>
  <si>
    <t>D5V0H1U2LPQ</t>
  </si>
  <si>
    <t>D5V0H2U3SO</t>
  </si>
  <si>
    <t>D5V0HA2U3SO</t>
  </si>
  <si>
    <t>D5V0L1B2LP</t>
  </si>
  <si>
    <t>D5V0L1B2LP3</t>
  </si>
  <si>
    <t>D5V0L1B2LP3Q</t>
  </si>
  <si>
    <t>D5V0L1B2LP4</t>
  </si>
  <si>
    <t>D5V0L1B2LPS</t>
  </si>
  <si>
    <t>D5V0L1B2LPSQ</t>
  </si>
  <si>
    <t>D5V0L1B2S9</t>
  </si>
  <si>
    <t>D5V0L1B2T</t>
  </si>
  <si>
    <t>D5V0L1B2TQ</t>
  </si>
  <si>
    <t>D5V0L1B2WS</t>
  </si>
  <si>
    <t>D5V0L2B3SO</t>
  </si>
  <si>
    <t>D5V0L2B3T</t>
  </si>
  <si>
    <t>SOT523</t>
  </si>
  <si>
    <t>D5V0L2B3W</t>
  </si>
  <si>
    <t>D5V0L4B5S</t>
  </si>
  <si>
    <t>D5V0L4B5SO</t>
  </si>
  <si>
    <t>D5V0L4B5SOQ</t>
  </si>
  <si>
    <t>4 Channel Low Capacitance Bi-Directional TVS Array</t>
  </si>
  <si>
    <t>D5V0L4B5TS</t>
  </si>
  <si>
    <t>TSOT25</t>
  </si>
  <si>
    <t>D5V0L4B5V</t>
  </si>
  <si>
    <t>SOT553</t>
  </si>
  <si>
    <t>D5V0M1U2LP3</t>
  </si>
  <si>
    <t>5V Uni-Directional TVS Diode</t>
  </si>
  <si>
    <t>D5V0M1U2S9</t>
  </si>
  <si>
    <t>D5V0M1U2S9Q</t>
  </si>
  <si>
    <t>D5V0M2B3LP</t>
  </si>
  <si>
    <t>D5V0M2B3LP10</t>
  </si>
  <si>
    <t>D5V0M5B6LP16</t>
  </si>
  <si>
    <t>Quint (Bi-Directional)</t>
  </si>
  <si>
    <t>U-DFN1616-6</t>
  </si>
  <si>
    <t>D5V0M6B6V</t>
  </si>
  <si>
    <t>6 Channel Bi-Directional TVS</t>
  </si>
  <si>
    <t>Hexa (Bi-Directional)</t>
  </si>
  <si>
    <t>SOT666</t>
  </si>
  <si>
    <t>D5V0P1B2LP</t>
  </si>
  <si>
    <t>D5V0P1B2LP3</t>
  </si>
  <si>
    <t>D5V0P4B5LP08</t>
  </si>
  <si>
    <t>±5.5</t>
  </si>
  <si>
    <t>X2-DFN0808-4</t>
  </si>
  <si>
    <t>D5V0P4UR6SO</t>
  </si>
  <si>
    <t>D5V0P4UR6SOQ</t>
  </si>
  <si>
    <t>4-Channel Low Capacitance TVS Diode Array</t>
  </si>
  <si>
    <t>D5V0P4URL6SO</t>
  </si>
  <si>
    <t>D5V0Q1B2LP3</t>
  </si>
  <si>
    <t>D5V0S1B2LP</t>
  </si>
  <si>
    <t>D5V0S1U2LP</t>
  </si>
  <si>
    <t>High Surge TVS Diode</t>
  </si>
  <si>
    <t>D5V0S1U2LP1608</t>
  </si>
  <si>
    <t>D5V0S1U2LP1608A</t>
  </si>
  <si>
    <t>D5V0S1U2LP1610</t>
  </si>
  <si>
    <t>D5V0S1U2LP1610Q</t>
  </si>
  <si>
    <t>1-Channel High Surge TVS Diode</t>
  </si>
  <si>
    <t>D5V0S1U2LPSQ</t>
  </si>
  <si>
    <t>D5V0S1U2WS</t>
  </si>
  <si>
    <t>D5V0S1UN2LP1610</t>
  </si>
  <si>
    <t>D5V0S1US2LP</t>
  </si>
  <si>
    <t>D5V0S1US2SLP</t>
  </si>
  <si>
    <t>One Channel Uni-Directional TVS</t>
  </si>
  <si>
    <t>D5V0X1B2LP</t>
  </si>
  <si>
    <t>Ultra Low Capacitance Bi-Directional TVS Diode</t>
  </si>
  <si>
    <t>D5V0X1B2LP3</t>
  </si>
  <si>
    <t>D5V0X1B2LP3Q</t>
  </si>
  <si>
    <t>D5V0X1B2LPQ</t>
  </si>
  <si>
    <t>5V Ultra Low Capacitance Bi-Directional TVS Diode</t>
  </si>
  <si>
    <t>D5V0X1BA2LP</t>
  </si>
  <si>
    <t>D5V0X1BA2LP4Q</t>
  </si>
  <si>
    <t>D5V0X1BA2LPQ</t>
  </si>
  <si>
    <t>D5V0X1BD2LPSQ</t>
  </si>
  <si>
    <t>1 Channel Low Capacitance Bidirectional TVS Diodes</t>
  </si>
  <si>
    <t>D5V0X4U10LP</t>
  </si>
  <si>
    <t>D5V0X4U10LPQ</t>
  </si>
  <si>
    <t>4-Channel Low-Capacitance TVS Diode Array</t>
  </si>
  <si>
    <t>D5V0Z1B2LP</t>
  </si>
  <si>
    <t>D5V0Z1B2LP3</t>
  </si>
  <si>
    <t>D5V0Z1B2LPQ</t>
  </si>
  <si>
    <t>D5V0Z1B2LPSQ</t>
  </si>
  <si>
    <t>D60V0L4B10LP</t>
  </si>
  <si>
    <t>D6V3E1U2LP</t>
  </si>
  <si>
    <t>D6V3H1U2LP</t>
  </si>
  <si>
    <t>D6V3H1U2LP16</t>
  </si>
  <si>
    <t>6.3V Uni-Directional TVS Diode</t>
  </si>
  <si>
    <t>D6V3H1U2LP1610Q</t>
  </si>
  <si>
    <t>D6V3H1U2LP4</t>
  </si>
  <si>
    <t>D6V3H1U2LPQ</t>
  </si>
  <si>
    <t>D6V3H1US2LP4</t>
  </si>
  <si>
    <t>D6V3M1U2LP3</t>
  </si>
  <si>
    <t>D6V3S1U2LP</t>
  </si>
  <si>
    <t>D7V0H1U2LP</t>
  </si>
  <si>
    <t>D7V0H1U2LPQ</t>
  </si>
  <si>
    <t>One-Channel Uni-Directional TVS</t>
  </si>
  <si>
    <t>D7V0M1U2LP3</t>
  </si>
  <si>
    <t>D7V0M1U2S9</t>
  </si>
  <si>
    <t>Surface Mount Uni-Directional TVS Diode</t>
  </si>
  <si>
    <t>D7V0M1U2S9Q</t>
  </si>
  <si>
    <t>Surface-Mount Uni-Directional TVS Diode</t>
  </si>
  <si>
    <t>D7V0S1U2WS</t>
  </si>
  <si>
    <t>D7V0X1B2LP3</t>
  </si>
  <si>
    <t>D7V5S1U3LP20</t>
  </si>
  <si>
    <t>D7V9H1U2LP1610</t>
  </si>
  <si>
    <t>7.9V Volt Uni-Directional High Surge TVS Diode</t>
  </si>
  <si>
    <t>D7V9H1U2LP1610Q</t>
  </si>
  <si>
    <t>7.9 Volt Uni-Directional High Surge TVS Diode</t>
  </si>
  <si>
    <t>D7V9S1U2LP</t>
  </si>
  <si>
    <t>D8V0H1B2LP</t>
  </si>
  <si>
    <t>D8V0H1B2LPQ</t>
  </si>
  <si>
    <t>D8V0H1U2LP1610</t>
  </si>
  <si>
    <t>8.0 Volt Uni-Directional High Surge TVS Diode</t>
  </si>
  <si>
    <t>D8V0L1B2LP</t>
  </si>
  <si>
    <t>D8V0L1B2LP3</t>
  </si>
  <si>
    <t>D8V0L1B2LP3Q</t>
  </si>
  <si>
    <t>D8V0L1B2LPQ</t>
  </si>
  <si>
    <t>D8V0X1B2LP</t>
  </si>
  <si>
    <t>D8V0X1B2LP4Q</t>
  </si>
  <si>
    <t>D8V0X1B2LPQ</t>
  </si>
  <si>
    <t>DBLC03CI</t>
  </si>
  <si>
    <t>DBLC03CIQ</t>
  </si>
  <si>
    <t>DBLC05CI</t>
  </si>
  <si>
    <t>DBLC05CIQ</t>
  </si>
  <si>
    <t>DBLC05IQ</t>
  </si>
  <si>
    <t>Ultra-Low Capacitance Uni-Directional TVS</t>
  </si>
  <si>
    <t>DBLC08CI</t>
  </si>
  <si>
    <t>DBLC08CIQ</t>
  </si>
  <si>
    <t>DBLC12CI</t>
  </si>
  <si>
    <t>DBLC12CIQ</t>
  </si>
  <si>
    <t>DBLC15CI</t>
  </si>
  <si>
    <t>DBLC15CIQ</t>
  </si>
  <si>
    <t>DBLC18CI</t>
  </si>
  <si>
    <t>DBLC18CIQ</t>
  </si>
  <si>
    <t>DBLC24CI</t>
  </si>
  <si>
    <t>DBLC24CIQ</t>
  </si>
  <si>
    <t>DESD0V8Z1BCSF</t>
  </si>
  <si>
    <t>±6</t>
  </si>
  <si>
    <t>DESD12V0S1BL</t>
  </si>
  <si>
    <t>12V Bi-Directional TVS Diode</t>
  </si>
  <si>
    <t>DESD12V0S1BLQ</t>
  </si>
  <si>
    <t>DESD12VL1BAQ</t>
  </si>
  <si>
    <t>Low Capacitance Bi-Directional TV</t>
  </si>
  <si>
    <t>DESD12VL2BTQ</t>
  </si>
  <si>
    <t>Two Channel Bi-Directional TVS Diode</t>
  </si>
  <si>
    <t>DESD12VS2UTQ</t>
  </si>
  <si>
    <t>Two-Channel Uni-Directional TVS Diode</t>
  </si>
  <si>
    <t>DESD15VL1BAQ</t>
  </si>
  <si>
    <t>DESD15VL2BTQ</t>
  </si>
  <si>
    <t>DESD15VS2UTQ</t>
  </si>
  <si>
    <t>DESD18VF1BL</t>
  </si>
  <si>
    <t>DESD18VF1BLP3</t>
  </si>
  <si>
    <t>DESD18VF1BLQ</t>
  </si>
  <si>
    <t>DESD18VS1BLP3</t>
  </si>
  <si>
    <t>DESD1CAN2SOQ</t>
  </si>
  <si>
    <t>CAN BUS ESD Protection Diode</t>
  </si>
  <si>
    <t>DESD1CAN2WQ</t>
  </si>
  <si>
    <t>DESD1CANFD24VSOQ</t>
  </si>
  <si>
    <t>CAN BUS FD ESD Protection Diode</t>
  </si>
  <si>
    <t>DESD1CANFD24VWQ</t>
  </si>
  <si>
    <t>DESD1ETH1GLPSQ</t>
  </si>
  <si>
    <t>Single-Channel Bi-Directional ESD Protection for Ethernet Interfaces</t>
  </si>
  <si>
    <t>DESD1ETH1GXLPSQ</t>
  </si>
  <si>
    <t>ESD Protection for Ethernet Interfaces</t>
  </si>
  <si>
    <t>DESD1FLEX2SOQ</t>
  </si>
  <si>
    <t>FLEXRAY BUS ESD Protection Diode</t>
  </si>
  <si>
    <t>DESD1IVN27V2WSQ</t>
  </si>
  <si>
    <t>ESD Protection for In-Vehicle Networks</t>
  </si>
  <si>
    <t>DESD1LIN2WSQ</t>
  </si>
  <si>
    <t>LIN-BUS Bi-Directional TVS Diode</t>
  </si>
  <si>
    <t>DESD1P0RFWA</t>
  </si>
  <si>
    <t>Low Capacitance, ESD Protection Diode Array</t>
  </si>
  <si>
    <t>DESD1V0ZS1BLP3</t>
  </si>
  <si>
    <t>DESD1V5ZS1BLP3</t>
  </si>
  <si>
    <t>DESD24VF1BL</t>
  </si>
  <si>
    <t>DESD24VF1BLP3</t>
  </si>
  <si>
    <t>DESD24VF1BLQ</t>
  </si>
  <si>
    <t>DESD24VL1BAQ</t>
  </si>
  <si>
    <t>DESD24VL2BTQ</t>
  </si>
  <si>
    <t>DESD24VS2SO</t>
  </si>
  <si>
    <t>24V CAN/LIN BUS TVS</t>
  </si>
  <si>
    <t>DESD24VS2SOQ</t>
  </si>
  <si>
    <t>24V CAN/LIN BUS PROTECTOR</t>
  </si>
  <si>
    <t>DESD24VS2UTQ</t>
  </si>
  <si>
    <t>DESD24VS5U6SOQ</t>
  </si>
  <si>
    <t>FIVEFOLD ESD Protection Diode ArrayS</t>
  </si>
  <si>
    <t>Quint (Uni-Directional)</t>
  </si>
  <si>
    <t>DESD2CAN2SOQ</t>
  </si>
  <si>
    <t>DESD2ETH100SOQ</t>
  </si>
  <si>
    <t>2-Channel Bi-Directional ESD Protection for Ethernet Interfaces</t>
  </si>
  <si>
    <t>DESD2ETH1GSOQ</t>
  </si>
  <si>
    <t>Two-Channel Bi-Directional ESD Protection For Ethernet Interfaces</t>
  </si>
  <si>
    <t>DESD2ETH1GXSOQ</t>
  </si>
  <si>
    <t>DESD2FLEX2SOQ</t>
  </si>
  <si>
    <t>DESD2IVN27V3WQ</t>
  </si>
  <si>
    <t>DESD2V5Z1BCSF</t>
  </si>
  <si>
    <t>DESD30VF1BL</t>
  </si>
  <si>
    <t>30V Ultra Low Capacitance Bi-Directional TVS Diode</t>
  </si>
  <si>
    <t>DESD30VF1BLQ</t>
  </si>
  <si>
    <t>30V Ultra-Low Capacitance Bi-Directional TVS Diode</t>
  </si>
  <si>
    <t>DESD32VS2SO</t>
  </si>
  <si>
    <t>32V CAN/LIN BUS TVS</t>
  </si>
  <si>
    <t>DESD32VS2SOQ</t>
  </si>
  <si>
    <t>32V CAN/LIN BUS PROTECTOR</t>
  </si>
  <si>
    <t>DESD34VS2SO</t>
  </si>
  <si>
    <t>Dual COMMON CATHODE TVS Diode</t>
  </si>
  <si>
    <t>DESD34VS2SOQ</t>
  </si>
  <si>
    <t>34V CAN BUS ESD Protection Diode</t>
  </si>
  <si>
    <t>DESD3512SO</t>
  </si>
  <si>
    <t>DESD35VF1BL</t>
  </si>
  <si>
    <t>DESD35VF1BLP3</t>
  </si>
  <si>
    <t>35V Ultra Low Capacitance Bi-Directional TVS Diode</t>
  </si>
  <si>
    <t>DESD35VF1BLQ</t>
  </si>
  <si>
    <t>DESD36VS2UTQ</t>
  </si>
  <si>
    <t>DESD3V3E1BL</t>
  </si>
  <si>
    <t>DESD3V3L1BAQ</t>
  </si>
  <si>
    <t>DESD3V3L2BTQ</t>
  </si>
  <si>
    <t>DESD3V3S1BL</t>
  </si>
  <si>
    <t>DESD3V3S1BL Low Capacitance Bi-Directional TVS Diodes</t>
  </si>
  <si>
    <t>DESD3V3S1BLP3</t>
  </si>
  <si>
    <t>DESD3V3S1BLQ</t>
  </si>
  <si>
    <t>DESD3V3S2UTQ</t>
  </si>
  <si>
    <t>DESD3V3X1BCSF</t>
  </si>
  <si>
    <t>DESD3V3XA1BCSF</t>
  </si>
  <si>
    <t>DESD3V3Z1BCSF</t>
  </si>
  <si>
    <t>X2-DSN0603-2, X2-WLB0603-2</t>
  </si>
  <si>
    <t>DESD3V3Z1BCSFQ</t>
  </si>
  <si>
    <t>DESD3V3ZS1BLP3</t>
  </si>
  <si>
    <t>DESD5V0L1BAQ</t>
  </si>
  <si>
    <t>DESD5V0L2BTQ</t>
  </si>
  <si>
    <t>DESD5V0S1BA</t>
  </si>
  <si>
    <t>DESD5V0S1BAQ</t>
  </si>
  <si>
    <t>DESD5V0S1BB</t>
  </si>
  <si>
    <t>DESD5V0S1BL</t>
  </si>
  <si>
    <t>DESD5V0S1BLD</t>
  </si>
  <si>
    <t>DESD5V0S1BLP3</t>
  </si>
  <si>
    <t>DESD5V0U1BA</t>
  </si>
  <si>
    <t>DESD5V0U1BB</t>
  </si>
  <si>
    <t>DESD5V0U1BL</t>
  </si>
  <si>
    <t>DESD5V0U1BLQ</t>
  </si>
  <si>
    <t>DESD5V0X1BCSF</t>
  </si>
  <si>
    <t>DESD5V0XA1BCSF</t>
  </si>
  <si>
    <t>DESD5V2S2UT</t>
  </si>
  <si>
    <t>TVS</t>
  </si>
  <si>
    <t>DESD5V2S2UTQ</t>
  </si>
  <si>
    <t>DESD6V8DLPA</t>
  </si>
  <si>
    <t>Dual Surface-Mount TVS</t>
  </si>
  <si>
    <t>DESDA5V3L</t>
  </si>
  <si>
    <t>zener TVS</t>
  </si>
  <si>
    <t>±9</t>
  </si>
  <si>
    <t>DESDA5V3LQ</t>
  </si>
  <si>
    <t>Dual Surface Mount TVS Array</t>
  </si>
  <si>
    <t>DESDALC5ALP</t>
  </si>
  <si>
    <t>1 Channel Bi-Directional TVS Diode</t>
  </si>
  <si>
    <t>DESDALC5LP</t>
  </si>
  <si>
    <t>DLP05LC</t>
  </si>
  <si>
    <t>DLP05LCA</t>
  </si>
  <si>
    <t>Low Capacitance Uni-Directional TVS</t>
  </si>
  <si>
    <t>DLPA006</t>
  </si>
  <si>
    <t>DATA BUS TRANSIENT SUPPRESSOR / 3-PHASE FULL WAVE BRIDGE RECTIFIER</t>
  </si>
  <si>
    <t>Tri (Uni-Directional)</t>
  </si>
  <si>
    <t>DLPT05</t>
  </si>
  <si>
    <t>SOT23, SOT323</t>
  </si>
  <si>
    <t>DLPT05A</t>
  </si>
  <si>
    <t>Surface Mount Dataline Protection Device</t>
  </si>
  <si>
    <t>DLPT05WA</t>
  </si>
  <si>
    <t>Surface Mount DATALINE Protection DEVICE</t>
  </si>
  <si>
    <t>DM1231-02SO</t>
  </si>
  <si>
    <t>2-Channel Low Capacitance ESD Protection Array</t>
  </si>
  <si>
    <t>DMF05LCFLPA</t>
  </si>
  <si>
    <t>Five Element Common Anode ESD-Protection Diode Array</t>
  </si>
  <si>
    <t>DMF05LCFLPAQ</t>
  </si>
  <si>
    <t>DRTR5V0U1LP</t>
  </si>
  <si>
    <t>Low Capacitance SINGLE ESD Protection TVS Diode</t>
  </si>
  <si>
    <t>DRTR5V0U1LPQ</t>
  </si>
  <si>
    <t>DRTR5V0U1SO</t>
  </si>
  <si>
    <t>DRTR5V0U2SO</t>
  </si>
  <si>
    <t>DRTR5V0U2SOQ</t>
  </si>
  <si>
    <t>2-Channel Low Capacitance TVS Diode Array</t>
  </si>
  <si>
    <t>DRTR5V0U2SR</t>
  </si>
  <si>
    <t>DRTR5V0U2SRQ</t>
  </si>
  <si>
    <t>DRTR5V0U4LP16</t>
  </si>
  <si>
    <t>DRTR5V0U4S</t>
  </si>
  <si>
    <t>DRTR5V0U4SL</t>
  </si>
  <si>
    <t>DT1042-02SR</t>
  </si>
  <si>
    <t>DT1042-02SRQ</t>
  </si>
  <si>
    <t>±16</t>
  </si>
  <si>
    <t>DT1042-04SO</t>
  </si>
  <si>
    <t>DT1042-04SOQ</t>
  </si>
  <si>
    <t>DT1042-04TS</t>
  </si>
  <si>
    <t>DT1140-04LP</t>
  </si>
  <si>
    <t>DT1140-04LPQ</t>
  </si>
  <si>
    <t>DT1240-04LP</t>
  </si>
  <si>
    <t>DT1240-04LP20</t>
  </si>
  <si>
    <t>X2-DFN2010-8 (Type B)</t>
  </si>
  <si>
    <t>DT1240-04LPQ</t>
  </si>
  <si>
    <t>DT1240-08LP3810</t>
  </si>
  <si>
    <t>DT1240A-04LP</t>
  </si>
  <si>
    <t>DT1240A-04LP20</t>
  </si>
  <si>
    <t>DT1240A-04LPQ</t>
  </si>
  <si>
    <t>DT1240A-08LP3810</t>
  </si>
  <si>
    <t>DT1240A-08LP3810Q</t>
  </si>
  <si>
    <t>DT1240E-04LP</t>
  </si>
  <si>
    <t>U-DFN2510-10, U-DFN2510-10 (Type CJ)</t>
  </si>
  <si>
    <t>DT1240V3-04LP</t>
  </si>
  <si>
    <t>Low Capacitance Uni-Directional TVS Diodes</t>
  </si>
  <si>
    <t>DT1240V3-04SO</t>
  </si>
  <si>
    <t>DT1446-04S</t>
  </si>
  <si>
    <t>DT1446-04SO</t>
  </si>
  <si>
    <t>DT1446-04TS</t>
  </si>
  <si>
    <t>DT1446-04V</t>
  </si>
  <si>
    <t>DT1452-02SO</t>
  </si>
  <si>
    <t>DT1452-02SOQ</t>
  </si>
  <si>
    <t>2 ChannelS Low Capacitance TVS Diode Array</t>
  </si>
  <si>
    <t>DT2041-04SO</t>
  </si>
  <si>
    <t>DT2042-04SO</t>
  </si>
  <si>
    <t>DT2042-04SOQ</t>
  </si>
  <si>
    <t>DT2042-04TS</t>
  </si>
  <si>
    <t>DT2636-04S</t>
  </si>
  <si>
    <t>DT6250-06MR</t>
  </si>
  <si>
    <t>MSOP-8</t>
  </si>
  <si>
    <t>DTVS20SP4UR</t>
  </si>
  <si>
    <t>400W Surface Mount Transient Voltage Suppressor</t>
  </si>
  <si>
    <t>DTVS22SP4UR</t>
  </si>
  <si>
    <t>DUP1105SOQ</t>
  </si>
  <si>
    <t>SINGLE LINE CAN/LIN BUS PROTECTOR</t>
  </si>
  <si>
    <t>DUP2105SOQ</t>
  </si>
  <si>
    <t>Dual LINE CAN BUS PROTECTOR</t>
  </si>
  <si>
    <t>DUP3105SOQ</t>
  </si>
  <si>
    <t>DZQA5V6AXV5</t>
  </si>
  <si>
    <t>DZQA6V8AXV5</t>
  </si>
  <si>
    <t>L25L5V0CB2</t>
  </si>
  <si>
    <t>ESD Protection DEVICE</t>
  </si>
  <si>
    <t>SOD323 (LS), SOD323</t>
  </si>
  <si>
    <t>L30ESD5V0AC3-2</t>
  </si>
  <si>
    <t>SOT23 (LS)</t>
  </si>
  <si>
    <t>L50L5V0CB2</t>
  </si>
  <si>
    <t>ESD Protection Diode</t>
  </si>
  <si>
    <t>MMBZ10VALA</t>
  </si>
  <si>
    <t>Power Dual Surface-Mount TVS</t>
  </si>
  <si>
    <t>MMBZ10VALAQ</t>
  </si>
  <si>
    <t>MMBZ10VCLA</t>
  </si>
  <si>
    <t>N/A</t>
  </si>
  <si>
    <t>MMBZ10VCLAQ</t>
  </si>
  <si>
    <t>MMBZ15VALA</t>
  </si>
  <si>
    <t>24W and 40W Peak Power Dual Surface-Mount TVS</t>
  </si>
  <si>
    <t>MMBZ15VALAQ</t>
  </si>
  <si>
    <t>MMBZ15VCLA</t>
  </si>
  <si>
    <t>MMBZ15VCLAQ</t>
  </si>
  <si>
    <t>MMBZ18VALA</t>
  </si>
  <si>
    <t>MMBZ18VALAQ</t>
  </si>
  <si>
    <t>MMBZ18VCLA</t>
  </si>
  <si>
    <t>MMBZ18VCLAQ</t>
  </si>
  <si>
    <t>MMBZ20VALA</t>
  </si>
  <si>
    <t>MMBZ20VALAQ</t>
  </si>
  <si>
    <t>MMBZ20VCLA</t>
  </si>
  <si>
    <t>MMBZ20VCLAQ</t>
  </si>
  <si>
    <t>MMBZ27VALA</t>
  </si>
  <si>
    <t>MMBZ27VALAQ</t>
  </si>
  <si>
    <t>MMBZ27VCLA</t>
  </si>
  <si>
    <t>MMBZ27VCLAQ</t>
  </si>
  <si>
    <t>MMBZ33VALA</t>
  </si>
  <si>
    <t>MMBZ33VALAQ</t>
  </si>
  <si>
    <t>MMBZ33VCLA</t>
  </si>
  <si>
    <t>MMBZ33VCLAQ</t>
  </si>
  <si>
    <t>MMBZ5V6ALA</t>
  </si>
  <si>
    <t>MMBZ5V6ALAQ</t>
  </si>
  <si>
    <t>MMBZ5V6CLA</t>
  </si>
  <si>
    <t>MMBZ5V6CLAQ</t>
  </si>
  <si>
    <t>MMBZ6V2ALA</t>
  </si>
  <si>
    <t>MMBZ6V2ALAQ</t>
  </si>
  <si>
    <t>MMBZ6V2CLA</t>
  </si>
  <si>
    <t>MMBZ6V2CLAQ</t>
  </si>
  <si>
    <t>MMBZ6V8ALA</t>
  </si>
  <si>
    <t>MMBZ6V8ALAQ</t>
  </si>
  <si>
    <t>MMBZ6V8CLA</t>
  </si>
  <si>
    <t>MMBZ6V8CLAQ</t>
  </si>
  <si>
    <t>MMBZ9V1ALA</t>
  </si>
  <si>
    <t>MMBZ9V1ALAQ</t>
  </si>
  <si>
    <t>MMBZ9V1CLA</t>
  </si>
  <si>
    <t>MMBZ9V1CLAQ</t>
  </si>
  <si>
    <t>SD03</t>
  </si>
  <si>
    <t>480W Uni-Directional TVS Diode</t>
  </si>
  <si>
    <t>SD03C</t>
  </si>
  <si>
    <t>600W Bi-Directional TVS Diode</t>
  </si>
  <si>
    <t>SD03CQ</t>
  </si>
  <si>
    <t>SD05A</t>
  </si>
  <si>
    <t>520W Uni-Directional TVS Diode</t>
  </si>
  <si>
    <t>SD05C</t>
  </si>
  <si>
    <t>SD05CQ</t>
  </si>
  <si>
    <t>640W Bi-Directional TVS Diode</t>
  </si>
  <si>
    <t>SD09</t>
  </si>
  <si>
    <t>360W Uni-Directional TVS Diode</t>
  </si>
  <si>
    <t>SD09C</t>
  </si>
  <si>
    <t>SD09CQ</t>
  </si>
  <si>
    <t>400W Bi-Directional TVS Diode</t>
  </si>
  <si>
    <t>SD12</t>
  </si>
  <si>
    <t>SD12A</t>
  </si>
  <si>
    <t>SD12C</t>
  </si>
  <si>
    <t>SD12CQ</t>
  </si>
  <si>
    <t>360W Bi-Directional TVS Diode</t>
  </si>
  <si>
    <t>SD12Q</t>
  </si>
  <si>
    <t>SD15</t>
  </si>
  <si>
    <t>320W Uni-Directional TVS Diode</t>
  </si>
  <si>
    <t>SD15C</t>
  </si>
  <si>
    <t>320W Bi-Directional TVS Diode</t>
  </si>
  <si>
    <t>SD15CQ</t>
  </si>
  <si>
    <t>SD15Q</t>
  </si>
  <si>
    <t>SD18</t>
  </si>
  <si>
    <t>SD20</t>
  </si>
  <si>
    <t>300W Uni-Directional TVS Diode</t>
  </si>
  <si>
    <t>SD20C</t>
  </si>
  <si>
    <t>370W Bi-Directional TVS Diode</t>
  </si>
  <si>
    <t>SD24</t>
  </si>
  <si>
    <t>350W Uni-Directional TVS Diode</t>
  </si>
  <si>
    <t>SD24C</t>
  </si>
  <si>
    <t>350W Bi-Directional TVS Diode</t>
  </si>
  <si>
    <t>SD24CQ</t>
  </si>
  <si>
    <t>SD24Q</t>
  </si>
  <si>
    <t>SD36</t>
  </si>
  <si>
    <t>One Channel Uni-Directional TVS Diode</t>
  </si>
  <si>
    <t>SD36CQ</t>
  </si>
  <si>
    <t>One Channel Bi-Directional TVS Diode</t>
  </si>
  <si>
    <t>SDA004</t>
  </si>
  <si>
    <t>switching Diode</t>
  </si>
  <si>
    <t>SDA006</t>
  </si>
  <si>
    <t>SM05</t>
  </si>
  <si>
    <t>SM12</t>
  </si>
  <si>
    <t>SMBJ43AQ</t>
  </si>
  <si>
    <t>600W Surface Mount Automotive Transient Voltage Suppressor</t>
  </si>
  <si>
    <t>SMB</t>
  </si>
  <si>
    <t>SMF4L3.3AQ</t>
  </si>
  <si>
    <t>DO-219AA</t>
  </si>
  <si>
    <t>T12S5A</t>
  </si>
  <si>
    <t>Uni-Directional Surface Mount TVS</t>
  </si>
  <si>
    <t>T12S5AQ</t>
  </si>
  <si>
    <t>T3V3S5A</t>
  </si>
  <si>
    <t>T3V3S5AQ</t>
  </si>
  <si>
    <t>T5V0DLP</t>
  </si>
  <si>
    <t>Low Capacitance TVS Diode</t>
  </si>
  <si>
    <t>T5V0S5A</t>
  </si>
  <si>
    <t>T5V0S5AQ</t>
  </si>
  <si>
    <t>T6V0S5A</t>
  </si>
  <si>
    <t>T6V0S5AQ</t>
  </si>
  <si>
    <t>TPD6V8LPN</t>
  </si>
  <si>
    <t>Surface-Mount Transient Voltage Suppressor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</si>
</sst>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diodes.com/datasheet/download/D10V0H1U2LP.pdf" TargetMode="External"/><Relationship Id="rId_hyperlink_2" Type="http://schemas.openxmlformats.org/officeDocument/2006/relationships/hyperlink" Target="https://www.diodes.com/part/view/D10V0H1U2LP" TargetMode="External"/><Relationship Id="rId_hyperlink_3" Type="http://schemas.openxmlformats.org/officeDocument/2006/relationships/hyperlink" Target="https://www.diodes.com/datasheet/download/D7V5S1U3LP20-D48V0S1U3LP20.pdf" TargetMode="External"/><Relationship Id="rId_hyperlink_4" Type="http://schemas.openxmlformats.org/officeDocument/2006/relationships/hyperlink" Target="https://www.diodes.com/part/view/D10V0S1U3LP20" TargetMode="External"/><Relationship Id="rId_hyperlink_5" Type="http://schemas.openxmlformats.org/officeDocument/2006/relationships/hyperlink" Target="https://www.diodes.com/datasheet/download/D10V0X1B2LP.pdf" TargetMode="External"/><Relationship Id="rId_hyperlink_6" Type="http://schemas.openxmlformats.org/officeDocument/2006/relationships/hyperlink" Target="https://www.diodes.com/part/view/D10V0X1B2LP" TargetMode="External"/><Relationship Id="rId_hyperlink_7" Type="http://schemas.openxmlformats.org/officeDocument/2006/relationships/hyperlink" Target="https://www.diodes.com/datasheet/download/DS43178.pdf" TargetMode="External"/><Relationship Id="rId_hyperlink_8" Type="http://schemas.openxmlformats.org/officeDocument/2006/relationships/hyperlink" Target="https://www.diodes.com/part/view/D10V0X1B2LP4Q" TargetMode="External"/><Relationship Id="rId_hyperlink_9" Type="http://schemas.openxmlformats.org/officeDocument/2006/relationships/hyperlink" Target="https://www.diodes.com/datasheet/download/D10V0X1B2LPQ.pdf" TargetMode="External"/><Relationship Id="rId_hyperlink_10" Type="http://schemas.openxmlformats.org/officeDocument/2006/relationships/hyperlink" Target="https://www.diodes.com/part/view/D10V0X1B2LPQ" TargetMode="External"/><Relationship Id="rId_hyperlink_11" Type="http://schemas.openxmlformats.org/officeDocument/2006/relationships/hyperlink" Target="https://www.diodes.com/datasheet/download/D1213A-01LP.pdf" TargetMode="External"/><Relationship Id="rId_hyperlink_12" Type="http://schemas.openxmlformats.org/officeDocument/2006/relationships/hyperlink" Target="https://www.diodes.com/part/view/D1213A-01LP" TargetMode="External"/><Relationship Id="rId_hyperlink_13" Type="http://schemas.openxmlformats.org/officeDocument/2006/relationships/hyperlink" Target="https://www.diodes.com/datasheet/download/D1213A-01LP4.pdf" TargetMode="External"/><Relationship Id="rId_hyperlink_14" Type="http://schemas.openxmlformats.org/officeDocument/2006/relationships/hyperlink" Target="https://www.diodes.com/part/view/D1213A-01LP4" TargetMode="External"/><Relationship Id="rId_hyperlink_15" Type="http://schemas.openxmlformats.org/officeDocument/2006/relationships/hyperlink" Target="https://www.diodes.com/datasheet/download/D1213A-01LPQ.pdf" TargetMode="External"/><Relationship Id="rId_hyperlink_16" Type="http://schemas.openxmlformats.org/officeDocument/2006/relationships/hyperlink" Target="https://www.diodes.com/part/view/D1213A-01LPQ" TargetMode="External"/><Relationship Id="rId_hyperlink_17" Type="http://schemas.openxmlformats.org/officeDocument/2006/relationships/hyperlink" Target="https://www.diodes.com/datasheet/download/D1213A-01SO.pdf" TargetMode="External"/><Relationship Id="rId_hyperlink_18" Type="http://schemas.openxmlformats.org/officeDocument/2006/relationships/hyperlink" Target="https://www.diodes.com/part/view/D1213A-01SO" TargetMode="External"/><Relationship Id="rId_hyperlink_19" Type="http://schemas.openxmlformats.org/officeDocument/2006/relationships/hyperlink" Target="https://www.diodes.com/datasheet/download/D1213A-01T.pdf" TargetMode="External"/><Relationship Id="rId_hyperlink_20" Type="http://schemas.openxmlformats.org/officeDocument/2006/relationships/hyperlink" Target="https://www.diodes.com/part/view/D1213A-01T" TargetMode="External"/><Relationship Id="rId_hyperlink_21" Type="http://schemas.openxmlformats.org/officeDocument/2006/relationships/hyperlink" Target="https://www.diodes.com/datasheet/download/D1213A-01W.pdf" TargetMode="External"/><Relationship Id="rId_hyperlink_22" Type="http://schemas.openxmlformats.org/officeDocument/2006/relationships/hyperlink" Target="https://www.diodes.com/part/view/D1213A-01W" TargetMode="External"/><Relationship Id="rId_hyperlink_23" Type="http://schemas.openxmlformats.org/officeDocument/2006/relationships/hyperlink" Target="https://www.diodes.com/datasheet/download/D1213A-01WQ.pdf" TargetMode="External"/><Relationship Id="rId_hyperlink_24" Type="http://schemas.openxmlformats.org/officeDocument/2006/relationships/hyperlink" Target="https://www.diodes.com/part/view/D1213A-01WQ" TargetMode="External"/><Relationship Id="rId_hyperlink_25" Type="http://schemas.openxmlformats.org/officeDocument/2006/relationships/hyperlink" Target="https://www.diodes.com/datasheet/download/D1213A-01WS.pdf" TargetMode="External"/><Relationship Id="rId_hyperlink_26" Type="http://schemas.openxmlformats.org/officeDocument/2006/relationships/hyperlink" Target="https://www.diodes.com/part/view/D1213A-01WS" TargetMode="External"/><Relationship Id="rId_hyperlink_27" Type="http://schemas.openxmlformats.org/officeDocument/2006/relationships/hyperlink" Target="https://www.diodes.com/datasheet/download/D1213A+01WSQ.pdf" TargetMode="External"/><Relationship Id="rId_hyperlink_28" Type="http://schemas.openxmlformats.org/officeDocument/2006/relationships/hyperlink" Target="https://www.diodes.com/part/view/D1213A-01WSQ" TargetMode="External"/><Relationship Id="rId_hyperlink_29" Type="http://schemas.openxmlformats.org/officeDocument/2006/relationships/hyperlink" Target="https://www.diodes.com/datasheet/download/D1213A-02S.pdf" TargetMode="External"/><Relationship Id="rId_hyperlink_30" Type="http://schemas.openxmlformats.org/officeDocument/2006/relationships/hyperlink" Target="https://www.diodes.com/part/view/D1213A-02S" TargetMode="External"/><Relationship Id="rId_hyperlink_31" Type="http://schemas.openxmlformats.org/officeDocument/2006/relationships/hyperlink" Target="https://www.diodes.com/datasheet/download/D1213A-02SM.pdf" TargetMode="External"/><Relationship Id="rId_hyperlink_32" Type="http://schemas.openxmlformats.org/officeDocument/2006/relationships/hyperlink" Target="https://www.diodes.com/part/view/D1213A-02SM" TargetMode="External"/><Relationship Id="rId_hyperlink_33" Type="http://schemas.openxmlformats.org/officeDocument/2006/relationships/hyperlink" Target="https://www.diodes.com/datasheet/download/D1213A-02SO.pdf" TargetMode="External"/><Relationship Id="rId_hyperlink_34" Type="http://schemas.openxmlformats.org/officeDocument/2006/relationships/hyperlink" Target="https://www.diodes.com/part/view/D1213A-02SO" TargetMode="External"/><Relationship Id="rId_hyperlink_35" Type="http://schemas.openxmlformats.org/officeDocument/2006/relationships/hyperlink" Target="https://www.diodes.com/datasheet/download/D1213A-02SOL.pdf" TargetMode="External"/><Relationship Id="rId_hyperlink_36" Type="http://schemas.openxmlformats.org/officeDocument/2006/relationships/hyperlink" Target="https://www.diodes.com/part/view/D1213A-02SOL" TargetMode="External"/><Relationship Id="rId_hyperlink_37" Type="http://schemas.openxmlformats.org/officeDocument/2006/relationships/hyperlink" Target="https://www.diodes.com/datasheet/download/D1213A-02SOLQ.pdf" TargetMode="External"/><Relationship Id="rId_hyperlink_38" Type="http://schemas.openxmlformats.org/officeDocument/2006/relationships/hyperlink" Target="https://www.diodes.com/part/view/D1213A-02SOLQ" TargetMode="External"/><Relationship Id="rId_hyperlink_39" Type="http://schemas.openxmlformats.org/officeDocument/2006/relationships/hyperlink" Target="https://www.diodes.com/datasheet/download/D1213A-02SR.pdf" TargetMode="External"/><Relationship Id="rId_hyperlink_40" Type="http://schemas.openxmlformats.org/officeDocument/2006/relationships/hyperlink" Target="https://www.diodes.com/part/view/D1213A-02SR" TargetMode="External"/><Relationship Id="rId_hyperlink_41" Type="http://schemas.openxmlformats.org/officeDocument/2006/relationships/hyperlink" Target="https://www.diodes.com/datasheet/download/D1213A-02WL.pdf" TargetMode="External"/><Relationship Id="rId_hyperlink_42" Type="http://schemas.openxmlformats.org/officeDocument/2006/relationships/hyperlink" Target="https://www.diodes.com/part/view/D1213A-02WL" TargetMode="External"/><Relationship Id="rId_hyperlink_43" Type="http://schemas.openxmlformats.org/officeDocument/2006/relationships/hyperlink" Target="https://www.diodes.com/datasheet/download/D1213A-02WLQ.pdf" TargetMode="External"/><Relationship Id="rId_hyperlink_44" Type="http://schemas.openxmlformats.org/officeDocument/2006/relationships/hyperlink" Target="https://www.diodes.com/part/view/D1213A-02WLQ" TargetMode="External"/><Relationship Id="rId_hyperlink_45" Type="http://schemas.openxmlformats.org/officeDocument/2006/relationships/hyperlink" Target="https://www.diodes.com/datasheet/download/D1213A-04MR.pdf" TargetMode="External"/><Relationship Id="rId_hyperlink_46" Type="http://schemas.openxmlformats.org/officeDocument/2006/relationships/hyperlink" Target="https://www.diodes.com/part/view/D1213A-04MR" TargetMode="External"/><Relationship Id="rId_hyperlink_47" Type="http://schemas.openxmlformats.org/officeDocument/2006/relationships/hyperlink" Target="https://www.diodes.com/datasheet/download/D1213A-04S.pdf" TargetMode="External"/><Relationship Id="rId_hyperlink_48" Type="http://schemas.openxmlformats.org/officeDocument/2006/relationships/hyperlink" Target="https://www.diodes.com/part/view/D1213A-04S" TargetMode="External"/><Relationship Id="rId_hyperlink_49" Type="http://schemas.openxmlformats.org/officeDocument/2006/relationships/hyperlink" Target="https://www.diodes.com/datasheet/download/D1213A-04SO.pdf" TargetMode="External"/><Relationship Id="rId_hyperlink_50" Type="http://schemas.openxmlformats.org/officeDocument/2006/relationships/hyperlink" Target="https://www.diodes.com/part/view/D1213A-04SO" TargetMode="External"/><Relationship Id="rId_hyperlink_51" Type="http://schemas.openxmlformats.org/officeDocument/2006/relationships/hyperlink" Target="https://www.diodes.com/datasheet/download/D1213A-04TS.pdf" TargetMode="External"/><Relationship Id="rId_hyperlink_52" Type="http://schemas.openxmlformats.org/officeDocument/2006/relationships/hyperlink" Target="https://www.diodes.com/part/view/D1213A-04TS" TargetMode="External"/><Relationship Id="rId_hyperlink_53" Type="http://schemas.openxmlformats.org/officeDocument/2006/relationships/hyperlink" Target="https://www.diodes.com/datasheet/download/D1213A-04TSQ.pdf" TargetMode="External"/><Relationship Id="rId_hyperlink_54" Type="http://schemas.openxmlformats.org/officeDocument/2006/relationships/hyperlink" Target="https://www.diodes.com/part/view/D1213A-04TSQ" TargetMode="External"/><Relationship Id="rId_hyperlink_55" Type="http://schemas.openxmlformats.org/officeDocument/2006/relationships/hyperlink" Target="https://www.diodes.com/datasheet/download/D1213A-04V.pdf" TargetMode="External"/><Relationship Id="rId_hyperlink_56" Type="http://schemas.openxmlformats.org/officeDocument/2006/relationships/hyperlink" Target="https://www.diodes.com/part/view/D1213A-04V" TargetMode="External"/><Relationship Id="rId_hyperlink_57" Type="http://schemas.openxmlformats.org/officeDocument/2006/relationships/hyperlink" Target="https://www.diodes.com/datasheet/download/D1213A-04VQ.pdf" TargetMode="External"/><Relationship Id="rId_hyperlink_58" Type="http://schemas.openxmlformats.org/officeDocument/2006/relationships/hyperlink" Target="https://www.diodes.com/part/view/D1213A-04VQ" TargetMode="External"/><Relationship Id="rId_hyperlink_59" Type="http://schemas.openxmlformats.org/officeDocument/2006/relationships/hyperlink" Target="https://www.diodes.com/datasheet/download/D12V0H1U2LP.pdf" TargetMode="External"/><Relationship Id="rId_hyperlink_60" Type="http://schemas.openxmlformats.org/officeDocument/2006/relationships/hyperlink" Target="https://www.diodes.com/part/view/D12V0H1U2LP" TargetMode="External"/><Relationship Id="rId_hyperlink_61" Type="http://schemas.openxmlformats.org/officeDocument/2006/relationships/hyperlink" Target="https://www.diodes.com/datasheet/download/D12V0H1U2LP1610.pdf" TargetMode="External"/><Relationship Id="rId_hyperlink_62" Type="http://schemas.openxmlformats.org/officeDocument/2006/relationships/hyperlink" Target="https://www.diodes.com/part/view/D12V0H1U2LP1610" TargetMode="External"/><Relationship Id="rId_hyperlink_63" Type="http://schemas.openxmlformats.org/officeDocument/2006/relationships/hyperlink" Target="https://www.diodes.com/datasheet/download/D12V0H1U2WS.pdf" TargetMode="External"/><Relationship Id="rId_hyperlink_64" Type="http://schemas.openxmlformats.org/officeDocument/2006/relationships/hyperlink" Target="https://www.diodes.com/part/view/D12V0H1U2WS" TargetMode="External"/><Relationship Id="rId_hyperlink_65" Type="http://schemas.openxmlformats.org/officeDocument/2006/relationships/hyperlink" Target="https://www.diodes.com/datasheet/download/D12V0H1U2WSQ.pdf" TargetMode="External"/><Relationship Id="rId_hyperlink_66" Type="http://schemas.openxmlformats.org/officeDocument/2006/relationships/hyperlink" Target="https://www.diodes.com/part/view/D12V0H1U2WSQ" TargetMode="External"/><Relationship Id="rId_hyperlink_67" Type="http://schemas.openxmlformats.org/officeDocument/2006/relationships/hyperlink" Target="https://www.diodes.com/datasheet/download/D12V0H2U3SO.pdf" TargetMode="External"/><Relationship Id="rId_hyperlink_68" Type="http://schemas.openxmlformats.org/officeDocument/2006/relationships/hyperlink" Target="https://www.diodes.com/part/view/D12V0H2U3SO" TargetMode="External"/><Relationship Id="rId_hyperlink_69" Type="http://schemas.openxmlformats.org/officeDocument/2006/relationships/hyperlink" Target="https://www.diodes.com/datasheet/download/D12V0HA1U2LP.pdf" TargetMode="External"/><Relationship Id="rId_hyperlink_70" Type="http://schemas.openxmlformats.org/officeDocument/2006/relationships/hyperlink" Target="https://www.diodes.com/part/view/D12V0HA1U2LP" TargetMode="External"/><Relationship Id="rId_hyperlink_71" Type="http://schemas.openxmlformats.org/officeDocument/2006/relationships/hyperlink" Target="https://www.diodes.com/datasheet/download/D12V0HA1U2LPQ.pdf" TargetMode="External"/><Relationship Id="rId_hyperlink_72" Type="http://schemas.openxmlformats.org/officeDocument/2006/relationships/hyperlink" Target="https://www.diodes.com/part/view/D12V0HA1U2LPQ" TargetMode="External"/><Relationship Id="rId_hyperlink_73" Type="http://schemas.openxmlformats.org/officeDocument/2006/relationships/hyperlink" Target="https://www.diodes.com/datasheet/download/D12V0HA1U2SLP.pdf" TargetMode="External"/><Relationship Id="rId_hyperlink_74" Type="http://schemas.openxmlformats.org/officeDocument/2006/relationships/hyperlink" Target="https://www.diodes.com/part/view/D12V0HA1U2SLP" TargetMode="External"/><Relationship Id="rId_hyperlink_75" Type="http://schemas.openxmlformats.org/officeDocument/2006/relationships/hyperlink" Target="https://www.diodes.com/datasheet/download/D12V0L1B2LP.pdf" TargetMode="External"/><Relationship Id="rId_hyperlink_76" Type="http://schemas.openxmlformats.org/officeDocument/2006/relationships/hyperlink" Target="https://www.diodes.com/part/view/D12V0L1B2LP" TargetMode="External"/><Relationship Id="rId_hyperlink_77" Type="http://schemas.openxmlformats.org/officeDocument/2006/relationships/hyperlink" Target="https://www.diodes.com/datasheet/download/D12V0M1U2LP3.pdf" TargetMode="External"/><Relationship Id="rId_hyperlink_78" Type="http://schemas.openxmlformats.org/officeDocument/2006/relationships/hyperlink" Target="https://www.diodes.com/part/view/D12V0M1U2LP3" TargetMode="External"/><Relationship Id="rId_hyperlink_79" Type="http://schemas.openxmlformats.org/officeDocument/2006/relationships/hyperlink" Target="https://www.diodes.com/datasheet/download/D12V0M1U2S9.pdf" TargetMode="External"/><Relationship Id="rId_hyperlink_80" Type="http://schemas.openxmlformats.org/officeDocument/2006/relationships/hyperlink" Target="https://www.diodes.com/part/view/D12V0M1U2S9" TargetMode="External"/><Relationship Id="rId_hyperlink_81" Type="http://schemas.openxmlformats.org/officeDocument/2006/relationships/hyperlink" Target="https://www.diodes.com/datasheet/download/D12V0M1U2S9Q.pdf" TargetMode="External"/><Relationship Id="rId_hyperlink_82" Type="http://schemas.openxmlformats.org/officeDocument/2006/relationships/hyperlink" Target="https://www.diodes.com/part/view/D12V0M1U2S9Q" TargetMode="External"/><Relationship Id="rId_hyperlink_83" Type="http://schemas.openxmlformats.org/officeDocument/2006/relationships/hyperlink" Target="https://www.diodes.com/datasheet/download/D12V0M1U2T.pdf" TargetMode="External"/><Relationship Id="rId_hyperlink_84" Type="http://schemas.openxmlformats.org/officeDocument/2006/relationships/hyperlink" Target="https://www.diodes.com/part/view/D12V0M1U2T" TargetMode="External"/><Relationship Id="rId_hyperlink_85" Type="http://schemas.openxmlformats.org/officeDocument/2006/relationships/hyperlink" Target="https://www.diodes.com/datasheet/download/D12V0M2U3SLP.pdf" TargetMode="External"/><Relationship Id="rId_hyperlink_86" Type="http://schemas.openxmlformats.org/officeDocument/2006/relationships/hyperlink" Target="https://www.diodes.com/part/view/D12V0M2U3SLP" TargetMode="External"/><Relationship Id="rId_hyperlink_87" Type="http://schemas.openxmlformats.org/officeDocument/2006/relationships/hyperlink" Target="https://www.diodes.com/datasheet/download/ds41785.pdf" TargetMode="External"/><Relationship Id="rId_hyperlink_88" Type="http://schemas.openxmlformats.org/officeDocument/2006/relationships/hyperlink" Target="https://www.diodes.com/part/view/D12V0S1U2LP1608" TargetMode="External"/><Relationship Id="rId_hyperlink_89" Type="http://schemas.openxmlformats.org/officeDocument/2006/relationships/hyperlink" Target="https://www.diodes.com/datasheet/download/D12V0S1U2LP1610_D50V0S1U2LP1610.pdf" TargetMode="External"/><Relationship Id="rId_hyperlink_90" Type="http://schemas.openxmlformats.org/officeDocument/2006/relationships/hyperlink" Target="https://www.diodes.com/part/view/D12V0S1U2LP1610" TargetMode="External"/><Relationship Id="rId_hyperlink_91" Type="http://schemas.openxmlformats.org/officeDocument/2006/relationships/hyperlink" Target="https://www.diodes.com/datasheet/download/D12V0S1U2LP1610Q.pdf" TargetMode="External"/><Relationship Id="rId_hyperlink_92" Type="http://schemas.openxmlformats.org/officeDocument/2006/relationships/hyperlink" Target="https://www.diodes.com/part/view/D12V0S1U2LP1610Q" TargetMode="External"/><Relationship Id="rId_hyperlink_93" Type="http://schemas.openxmlformats.org/officeDocument/2006/relationships/hyperlink" Target="https://www.diodes.com/datasheet/download/D7V5S1U3LP20-D48V0S1U3LP20.pdf" TargetMode="External"/><Relationship Id="rId_hyperlink_94" Type="http://schemas.openxmlformats.org/officeDocument/2006/relationships/hyperlink" Target="https://www.diodes.com/part/view/D12V0S1U3LP20" TargetMode="External"/><Relationship Id="rId_hyperlink_95" Type="http://schemas.openxmlformats.org/officeDocument/2006/relationships/hyperlink" Target="https://www.diodes.com/datasheet/download/D12V0X1B2CSP.pdf" TargetMode="External"/><Relationship Id="rId_hyperlink_96" Type="http://schemas.openxmlformats.org/officeDocument/2006/relationships/hyperlink" Target="https://www.diodes.com/part/view/D12V0X1B2CSP" TargetMode="External"/><Relationship Id="rId_hyperlink_97" Type="http://schemas.openxmlformats.org/officeDocument/2006/relationships/hyperlink" Target="https://www.diodes.com/datasheet/download/D12V0X1B2LP.pdf" TargetMode="External"/><Relationship Id="rId_hyperlink_98" Type="http://schemas.openxmlformats.org/officeDocument/2006/relationships/hyperlink" Target="https://www.diodes.com/part/view/D12V0X1B2LP" TargetMode="External"/><Relationship Id="rId_hyperlink_99" Type="http://schemas.openxmlformats.org/officeDocument/2006/relationships/hyperlink" Target="https://www.diodes.com/datasheet/download/DS43178.pdf" TargetMode="External"/><Relationship Id="rId_hyperlink_100" Type="http://schemas.openxmlformats.org/officeDocument/2006/relationships/hyperlink" Target="https://www.diodes.com/part/view/D12V0X1B2LP4Q" TargetMode="External"/><Relationship Id="rId_hyperlink_101" Type="http://schemas.openxmlformats.org/officeDocument/2006/relationships/hyperlink" Target="https://www.diodes.com/datasheet/download/D12V0X1B2LPQ.pdf" TargetMode="External"/><Relationship Id="rId_hyperlink_102" Type="http://schemas.openxmlformats.org/officeDocument/2006/relationships/hyperlink" Target="https://www.diodes.com/part/view/D12V0X1B2LPQ" TargetMode="External"/><Relationship Id="rId_hyperlink_103" Type="http://schemas.openxmlformats.org/officeDocument/2006/relationships/hyperlink" Target="https://www.diodes.com/datasheet/download/D13AP2WF.pdf" TargetMode="External"/><Relationship Id="rId_hyperlink_104" Type="http://schemas.openxmlformats.org/officeDocument/2006/relationships/hyperlink" Target="https://www.diodes.com/part/view/D13AP2WF" TargetMode="External"/><Relationship Id="rId_hyperlink_105" Type="http://schemas.openxmlformats.org/officeDocument/2006/relationships/hyperlink" Target="https://www.diodes.com/datasheet/download/D14V0H1U2LP.pdf" TargetMode="External"/><Relationship Id="rId_hyperlink_106" Type="http://schemas.openxmlformats.org/officeDocument/2006/relationships/hyperlink" Target="https://www.diodes.com/part/view/D14V0H1U2LP" TargetMode="External"/><Relationship Id="rId_hyperlink_107" Type="http://schemas.openxmlformats.org/officeDocument/2006/relationships/hyperlink" Target="https://www.diodes.com/datasheet/download/D14V0H1U2LP1610.pdf" TargetMode="External"/><Relationship Id="rId_hyperlink_108" Type="http://schemas.openxmlformats.org/officeDocument/2006/relationships/hyperlink" Target="https://www.diodes.com/part/view/D14V0H1U2LP1610" TargetMode="External"/><Relationship Id="rId_hyperlink_109" Type="http://schemas.openxmlformats.org/officeDocument/2006/relationships/hyperlink" Target="https://www.diodes.com/datasheet/download/D14V0H1U2WS.pdf" TargetMode="External"/><Relationship Id="rId_hyperlink_110" Type="http://schemas.openxmlformats.org/officeDocument/2006/relationships/hyperlink" Target="https://www.diodes.com/part/view/D14V0H1U2WS" TargetMode="External"/><Relationship Id="rId_hyperlink_111" Type="http://schemas.openxmlformats.org/officeDocument/2006/relationships/hyperlink" Target="https://www.diodes.com/datasheet/download/D14V0S1U2WS.pdf" TargetMode="External"/><Relationship Id="rId_hyperlink_112" Type="http://schemas.openxmlformats.org/officeDocument/2006/relationships/hyperlink" Target="https://www.diodes.com/part/view/D14V0S1U2WS" TargetMode="External"/><Relationship Id="rId_hyperlink_113" Type="http://schemas.openxmlformats.org/officeDocument/2006/relationships/hyperlink" Target="https://www.diodes.com/datasheet/download/D15V0H1U2LP.pdf" TargetMode="External"/><Relationship Id="rId_hyperlink_114" Type="http://schemas.openxmlformats.org/officeDocument/2006/relationships/hyperlink" Target="https://www.diodes.com/part/view/D15V0H1U2LP" TargetMode="External"/><Relationship Id="rId_hyperlink_115" Type="http://schemas.openxmlformats.org/officeDocument/2006/relationships/hyperlink" Target="https://www.diodes.com/datasheet/download/D15V0H1U2LP16.pdf" TargetMode="External"/><Relationship Id="rId_hyperlink_116" Type="http://schemas.openxmlformats.org/officeDocument/2006/relationships/hyperlink" Target="https://www.diodes.com/part/view/D15V0H1U2LP16" TargetMode="External"/><Relationship Id="rId_hyperlink_117" Type="http://schemas.openxmlformats.org/officeDocument/2006/relationships/hyperlink" Target="https://www.diodes.com/datasheet/download/D15V0HA1U2LP.pdf" TargetMode="External"/><Relationship Id="rId_hyperlink_118" Type="http://schemas.openxmlformats.org/officeDocument/2006/relationships/hyperlink" Target="https://www.diodes.com/part/view/D15V0HA1U2LP" TargetMode="External"/><Relationship Id="rId_hyperlink_119" Type="http://schemas.openxmlformats.org/officeDocument/2006/relationships/hyperlink" Target="https://www.diodes.com/datasheet/download/D15V0M1U2LP3.pdf" TargetMode="External"/><Relationship Id="rId_hyperlink_120" Type="http://schemas.openxmlformats.org/officeDocument/2006/relationships/hyperlink" Target="https://www.diodes.com/part/view/D15V0M1U2LP3" TargetMode="External"/><Relationship Id="rId_hyperlink_121" Type="http://schemas.openxmlformats.org/officeDocument/2006/relationships/hyperlink" Target="https://www.diodes.com/datasheet/download/D15V0M2U3SLP.pdf" TargetMode="External"/><Relationship Id="rId_hyperlink_122" Type="http://schemas.openxmlformats.org/officeDocument/2006/relationships/hyperlink" Target="https://www.diodes.com/part/view/D15V0M2U3SLP" TargetMode="External"/><Relationship Id="rId_hyperlink_123" Type="http://schemas.openxmlformats.org/officeDocument/2006/relationships/hyperlink" Target="https://www.diodes.com/datasheet/download/D15V0R1B2LP.pdf" TargetMode="External"/><Relationship Id="rId_hyperlink_124" Type="http://schemas.openxmlformats.org/officeDocument/2006/relationships/hyperlink" Target="https://www.diodes.com/part/view/D15V0R1B2LP" TargetMode="External"/><Relationship Id="rId_hyperlink_125" Type="http://schemas.openxmlformats.org/officeDocument/2006/relationships/hyperlink" Target="https://www.diodes.com/datasheet/download/ds41785.pdf" TargetMode="External"/><Relationship Id="rId_hyperlink_126" Type="http://schemas.openxmlformats.org/officeDocument/2006/relationships/hyperlink" Target="https://www.diodes.com/part/view/D15V0S1U2LP1608" TargetMode="External"/><Relationship Id="rId_hyperlink_127" Type="http://schemas.openxmlformats.org/officeDocument/2006/relationships/hyperlink" Target="https://www.diodes.com/datasheet/download/D15V0S1U2LP1608A.pdf" TargetMode="External"/><Relationship Id="rId_hyperlink_128" Type="http://schemas.openxmlformats.org/officeDocument/2006/relationships/hyperlink" Target="https://www.diodes.com/part/view/D15V0S1U2LP1608A" TargetMode="External"/><Relationship Id="rId_hyperlink_129" Type="http://schemas.openxmlformats.org/officeDocument/2006/relationships/hyperlink" Target="https://www.diodes.com/datasheet/download/D12V0S1U2LP1610_D50V0S1U2LP1610.pdf" TargetMode="External"/><Relationship Id="rId_hyperlink_130" Type="http://schemas.openxmlformats.org/officeDocument/2006/relationships/hyperlink" Target="https://www.diodes.com/part/view/D15V0S1U2LP1610" TargetMode="External"/><Relationship Id="rId_hyperlink_131" Type="http://schemas.openxmlformats.org/officeDocument/2006/relationships/hyperlink" Target="https://www.diodes.com/datasheet/download/D15V0S1U2LP1610Q.pdf" TargetMode="External"/><Relationship Id="rId_hyperlink_132" Type="http://schemas.openxmlformats.org/officeDocument/2006/relationships/hyperlink" Target="https://www.diodes.com/part/view/D15V0S1U2LP1610Q" TargetMode="External"/><Relationship Id="rId_hyperlink_133" Type="http://schemas.openxmlformats.org/officeDocument/2006/relationships/hyperlink" Target="https://www.diodes.com/datasheet/download/D7V5S1U3LP20-D48V0S1U3LP20.pdf" TargetMode="External"/><Relationship Id="rId_hyperlink_134" Type="http://schemas.openxmlformats.org/officeDocument/2006/relationships/hyperlink" Target="https://www.diodes.com/part/view/D15V0S1U3LP20" TargetMode="External"/><Relationship Id="rId_hyperlink_135" Type="http://schemas.openxmlformats.org/officeDocument/2006/relationships/hyperlink" Target="https://www.diodes.com/datasheet/download/D15V0X1B2LP.pdf" TargetMode="External"/><Relationship Id="rId_hyperlink_136" Type="http://schemas.openxmlformats.org/officeDocument/2006/relationships/hyperlink" Target="https://www.diodes.com/part/view/D15V0X1B2LP" TargetMode="External"/><Relationship Id="rId_hyperlink_137" Type="http://schemas.openxmlformats.org/officeDocument/2006/relationships/hyperlink" Target="https://www.diodes.com/datasheet/download/DS43178.pdf" TargetMode="External"/><Relationship Id="rId_hyperlink_138" Type="http://schemas.openxmlformats.org/officeDocument/2006/relationships/hyperlink" Target="https://www.diodes.com/part/view/D15V0X1B2LP4Q" TargetMode="External"/><Relationship Id="rId_hyperlink_139" Type="http://schemas.openxmlformats.org/officeDocument/2006/relationships/hyperlink" Target="https://www.diodes.com/datasheet/download/D15V0X1B2LPQ.pdf" TargetMode="External"/><Relationship Id="rId_hyperlink_140" Type="http://schemas.openxmlformats.org/officeDocument/2006/relationships/hyperlink" Target="https://www.diodes.com/part/view/D15V0X1B2LPQ" TargetMode="External"/><Relationship Id="rId_hyperlink_141" Type="http://schemas.openxmlformats.org/officeDocument/2006/relationships/hyperlink" Target="https://www.diodes.com/datasheet/download/D18AP2WF.pdf" TargetMode="External"/><Relationship Id="rId_hyperlink_142" Type="http://schemas.openxmlformats.org/officeDocument/2006/relationships/hyperlink" Target="https://www.diodes.com/part/view/D18AP2WF" TargetMode="External"/><Relationship Id="rId_hyperlink_143" Type="http://schemas.openxmlformats.org/officeDocument/2006/relationships/hyperlink" Target="https://www.diodes.com/datasheet/download/D18V0H1U2LP.pdf" TargetMode="External"/><Relationship Id="rId_hyperlink_144" Type="http://schemas.openxmlformats.org/officeDocument/2006/relationships/hyperlink" Target="https://www.diodes.com/part/view/D18V0H1U2LP" TargetMode="External"/><Relationship Id="rId_hyperlink_145" Type="http://schemas.openxmlformats.org/officeDocument/2006/relationships/hyperlink" Target="https://www.diodes.com/datasheet/download/D18V0L1B2LP.pdf" TargetMode="External"/><Relationship Id="rId_hyperlink_146" Type="http://schemas.openxmlformats.org/officeDocument/2006/relationships/hyperlink" Target="https://www.diodes.com/part/view/D18V0L1B2LP" TargetMode="External"/><Relationship Id="rId_hyperlink_147" Type="http://schemas.openxmlformats.org/officeDocument/2006/relationships/hyperlink" Target="https://www.diodes.com/datasheet/download/D18V0L1B2LPQ.pdf" TargetMode="External"/><Relationship Id="rId_hyperlink_148" Type="http://schemas.openxmlformats.org/officeDocument/2006/relationships/hyperlink" Target="https://www.diodes.com/part/view/D18V0L1B2LPQ" TargetMode="External"/><Relationship Id="rId_hyperlink_149" Type="http://schemas.openxmlformats.org/officeDocument/2006/relationships/hyperlink" Target="https://www.diodes.com/datasheet/download/D12V0S1U2LP1610_D50V0S1U2LP1610.pdf" TargetMode="External"/><Relationship Id="rId_hyperlink_150" Type="http://schemas.openxmlformats.org/officeDocument/2006/relationships/hyperlink" Target="https://www.diodes.com/part/view/D18V0S1U2LP1610" TargetMode="External"/><Relationship Id="rId_hyperlink_151" Type="http://schemas.openxmlformats.org/officeDocument/2006/relationships/hyperlink" Target="https://www.diodes.com/datasheet/download/D7V5S1U3LP20-D48V0S1U3LP20.pdf" TargetMode="External"/><Relationship Id="rId_hyperlink_152" Type="http://schemas.openxmlformats.org/officeDocument/2006/relationships/hyperlink" Target="https://www.diodes.com/part/view/D18V0S1U3LP20" TargetMode="External"/><Relationship Id="rId_hyperlink_153" Type="http://schemas.openxmlformats.org/officeDocument/2006/relationships/hyperlink" Target="https://www.diodes.com/datasheet/download/D18V0X1B2LP.pdf" TargetMode="External"/><Relationship Id="rId_hyperlink_154" Type="http://schemas.openxmlformats.org/officeDocument/2006/relationships/hyperlink" Target="https://www.diodes.com/part/view/D18V0X1B2LP" TargetMode="External"/><Relationship Id="rId_hyperlink_155" Type="http://schemas.openxmlformats.org/officeDocument/2006/relationships/hyperlink" Target="https://www.diodes.com/datasheet/download/DS43178.pdf" TargetMode="External"/><Relationship Id="rId_hyperlink_156" Type="http://schemas.openxmlformats.org/officeDocument/2006/relationships/hyperlink" Target="https://www.diodes.com/part/view/D18V0X1B2LP4Q" TargetMode="External"/><Relationship Id="rId_hyperlink_157" Type="http://schemas.openxmlformats.org/officeDocument/2006/relationships/hyperlink" Target="https://www.diodes.com/datasheet/download/D18V0X1B2LPQ.pdf" TargetMode="External"/><Relationship Id="rId_hyperlink_158" Type="http://schemas.openxmlformats.org/officeDocument/2006/relationships/hyperlink" Target="https://www.diodes.com/part/view/D18V0X1B2LPQ" TargetMode="External"/><Relationship Id="rId_hyperlink_159" Type="http://schemas.openxmlformats.org/officeDocument/2006/relationships/hyperlink" Target="https://www.diodes.com/datasheet/download/D18V0Z1B2LPQ.pdf" TargetMode="External"/><Relationship Id="rId_hyperlink_160" Type="http://schemas.openxmlformats.org/officeDocument/2006/relationships/hyperlink" Target="https://www.diodes.com/part/view/D18V0Z1B2LPQ" TargetMode="External"/><Relationship Id="rId_hyperlink_161" Type="http://schemas.openxmlformats.org/officeDocument/2006/relationships/hyperlink" Target="https://www.diodes.com/datasheet/download/D1V8L1BS2LP3.pdf" TargetMode="External"/><Relationship Id="rId_hyperlink_162" Type="http://schemas.openxmlformats.org/officeDocument/2006/relationships/hyperlink" Target="https://www.diodes.com/part/view/D1V8L1BS2LP3" TargetMode="External"/><Relationship Id="rId_hyperlink_163" Type="http://schemas.openxmlformats.org/officeDocument/2006/relationships/hyperlink" Target="https://www.diodes.com/datasheet/download/D1V8L1BS2LP3Q.pdf" TargetMode="External"/><Relationship Id="rId_hyperlink_164" Type="http://schemas.openxmlformats.org/officeDocument/2006/relationships/hyperlink" Target="https://www.diodes.com/part/view/D1V8L1BS2LP3Q" TargetMode="External"/><Relationship Id="rId_hyperlink_165" Type="http://schemas.openxmlformats.org/officeDocument/2006/relationships/hyperlink" Target="https://www.diodes.com/datasheet/download/D20V0H1U2LP.pdf" TargetMode="External"/><Relationship Id="rId_hyperlink_166" Type="http://schemas.openxmlformats.org/officeDocument/2006/relationships/hyperlink" Target="https://www.diodes.com/part/view/D20V0H1U2LP" TargetMode="External"/><Relationship Id="rId_hyperlink_167" Type="http://schemas.openxmlformats.org/officeDocument/2006/relationships/hyperlink" Target="https://www.diodes.com/datasheet/download/D20V0L1B2LP.pdf" TargetMode="External"/><Relationship Id="rId_hyperlink_168" Type="http://schemas.openxmlformats.org/officeDocument/2006/relationships/hyperlink" Target="https://www.diodes.com/part/view/D20V0L1B2LP" TargetMode="External"/><Relationship Id="rId_hyperlink_169" Type="http://schemas.openxmlformats.org/officeDocument/2006/relationships/hyperlink" Target="https://www.diodes.com/datasheet/download/D20V0L1B2LP3.pdf" TargetMode="External"/><Relationship Id="rId_hyperlink_170" Type="http://schemas.openxmlformats.org/officeDocument/2006/relationships/hyperlink" Target="https://www.diodes.com/part/view/D20V0L1B2LP3" TargetMode="External"/><Relationship Id="rId_hyperlink_171" Type="http://schemas.openxmlformats.org/officeDocument/2006/relationships/hyperlink" Target="https://www.diodes.com/datasheet/download/D20V0L1B2WS.pdf" TargetMode="External"/><Relationship Id="rId_hyperlink_172" Type="http://schemas.openxmlformats.org/officeDocument/2006/relationships/hyperlink" Target="https://www.diodes.com/part/view/D20V0L1B2WS" TargetMode="External"/><Relationship Id="rId_hyperlink_173" Type="http://schemas.openxmlformats.org/officeDocument/2006/relationships/hyperlink" Target="https://www.diodes.com/datasheet/download/D20V0L1B2WSQ.pdf" TargetMode="External"/><Relationship Id="rId_hyperlink_174" Type="http://schemas.openxmlformats.org/officeDocument/2006/relationships/hyperlink" Target="https://www.diodes.com/part/view/D20V0L1B2WSQ" TargetMode="External"/><Relationship Id="rId_hyperlink_175" Type="http://schemas.openxmlformats.org/officeDocument/2006/relationships/hyperlink" Target="https://www.diodes.com/datasheet/download/D20V0M2U3LP4.pdf" TargetMode="External"/><Relationship Id="rId_hyperlink_176" Type="http://schemas.openxmlformats.org/officeDocument/2006/relationships/hyperlink" Target="https://www.diodes.com/part/view/D20V0M2U3LP4" TargetMode="External"/><Relationship Id="rId_hyperlink_177" Type="http://schemas.openxmlformats.org/officeDocument/2006/relationships/hyperlink" Target="https://www.diodes.com/datasheet/download/D12V0S1U2LP1610_D50V0S1U2LP1610.pdf" TargetMode="External"/><Relationship Id="rId_hyperlink_178" Type="http://schemas.openxmlformats.org/officeDocument/2006/relationships/hyperlink" Target="https://www.diodes.com/part/view/D20V0S1U2LP1610" TargetMode="External"/><Relationship Id="rId_hyperlink_179" Type="http://schemas.openxmlformats.org/officeDocument/2006/relationships/hyperlink" Target="https://www.diodes.com/datasheet/download/D20V0S1U2LP1610Q.pdf" TargetMode="External"/><Relationship Id="rId_hyperlink_180" Type="http://schemas.openxmlformats.org/officeDocument/2006/relationships/hyperlink" Target="https://www.diodes.com/part/view/D20V0S1U2LP1610Q" TargetMode="External"/><Relationship Id="rId_hyperlink_181" Type="http://schemas.openxmlformats.org/officeDocument/2006/relationships/hyperlink" Target="https://www.diodes.com/datasheet/download/D20V0S1U2LP20.pdf" TargetMode="External"/><Relationship Id="rId_hyperlink_182" Type="http://schemas.openxmlformats.org/officeDocument/2006/relationships/hyperlink" Target="https://www.diodes.com/part/view/D20V0S1U2LP20" TargetMode="External"/><Relationship Id="rId_hyperlink_183" Type="http://schemas.openxmlformats.org/officeDocument/2006/relationships/hyperlink" Target="https://www.diodes.com/datasheet/download/D7V5S1U3LP20-D48V0S1U3LP20.pdf" TargetMode="External"/><Relationship Id="rId_hyperlink_184" Type="http://schemas.openxmlformats.org/officeDocument/2006/relationships/hyperlink" Target="https://www.diodes.com/part/view/D20V0S1U3LP20" TargetMode="External"/><Relationship Id="rId_hyperlink_185" Type="http://schemas.openxmlformats.org/officeDocument/2006/relationships/hyperlink" Target="https://www.diodes.com/datasheet/download/D22V0H1U2LP.pdf" TargetMode="External"/><Relationship Id="rId_hyperlink_186" Type="http://schemas.openxmlformats.org/officeDocument/2006/relationships/hyperlink" Target="https://www.diodes.com/part/view/D22V0H1U2LP" TargetMode="External"/><Relationship Id="rId_hyperlink_187" Type="http://schemas.openxmlformats.org/officeDocument/2006/relationships/hyperlink" Target="https://www.diodes.com/datasheet/download/D22V0H1U2LP1610.pdf" TargetMode="External"/><Relationship Id="rId_hyperlink_188" Type="http://schemas.openxmlformats.org/officeDocument/2006/relationships/hyperlink" Target="https://www.diodes.com/part/view/D22V0H1U2LP1610" TargetMode="External"/><Relationship Id="rId_hyperlink_189" Type="http://schemas.openxmlformats.org/officeDocument/2006/relationships/hyperlink" Target="https://www.diodes.com/datasheet/download/D22V0M1U2LP.pdf" TargetMode="External"/><Relationship Id="rId_hyperlink_190" Type="http://schemas.openxmlformats.org/officeDocument/2006/relationships/hyperlink" Target="https://www.diodes.com/part/view/D22V0M1U2LP" TargetMode="External"/><Relationship Id="rId_hyperlink_191" Type="http://schemas.openxmlformats.org/officeDocument/2006/relationships/hyperlink" Target="https://www.diodes.com/datasheet/download/D12V0S1U2LP1610_D50V0S1U2LP1610.pdf" TargetMode="External"/><Relationship Id="rId_hyperlink_192" Type="http://schemas.openxmlformats.org/officeDocument/2006/relationships/hyperlink" Target="https://www.diodes.com/part/view/D22V0S1U2LP1610" TargetMode="External"/><Relationship Id="rId_hyperlink_193" Type="http://schemas.openxmlformats.org/officeDocument/2006/relationships/hyperlink" Target="https://www.diodes.com/datasheet/download/D22V0S1U2LP20.pdf" TargetMode="External"/><Relationship Id="rId_hyperlink_194" Type="http://schemas.openxmlformats.org/officeDocument/2006/relationships/hyperlink" Target="https://www.diodes.com/part/view/D22V0S1U2LP20" TargetMode="External"/><Relationship Id="rId_hyperlink_195" Type="http://schemas.openxmlformats.org/officeDocument/2006/relationships/hyperlink" Target="https://www.diodes.com/datasheet/download/D22V0S1U2WS.pdf" TargetMode="External"/><Relationship Id="rId_hyperlink_196" Type="http://schemas.openxmlformats.org/officeDocument/2006/relationships/hyperlink" Target="https://www.diodes.com/part/view/D22V0S1U2WS" TargetMode="External"/><Relationship Id="rId_hyperlink_197" Type="http://schemas.openxmlformats.org/officeDocument/2006/relationships/hyperlink" Target="https://www.diodes.com/datasheet/download/D7V5S1U3LP20-D48V0S1U3LP20.pdf" TargetMode="External"/><Relationship Id="rId_hyperlink_198" Type="http://schemas.openxmlformats.org/officeDocument/2006/relationships/hyperlink" Target="https://www.diodes.com/part/view/D22V0S1U3LP20" TargetMode="External"/><Relationship Id="rId_hyperlink_199" Type="http://schemas.openxmlformats.org/officeDocument/2006/relationships/hyperlink" Target="https://www.diodes.com/datasheet/download/D22V0S1U6LP2018.pdf" TargetMode="External"/><Relationship Id="rId_hyperlink_200" Type="http://schemas.openxmlformats.org/officeDocument/2006/relationships/hyperlink" Target="https://www.diodes.com/part/view/D22V0S1U6LP2018" TargetMode="External"/><Relationship Id="rId_hyperlink_201" Type="http://schemas.openxmlformats.org/officeDocument/2006/relationships/hyperlink" Target="https://www.diodes.com/datasheet/download/D24V0F2U3WQ.pdf" TargetMode="External"/><Relationship Id="rId_hyperlink_202" Type="http://schemas.openxmlformats.org/officeDocument/2006/relationships/hyperlink" Target="https://www.diodes.com/part/view/D24V0F2U3WQ" TargetMode="External"/><Relationship Id="rId_hyperlink_203" Type="http://schemas.openxmlformats.org/officeDocument/2006/relationships/hyperlink" Target="https://www.diodes.com/datasheet/download/D24V0H1U2LP.pdf" TargetMode="External"/><Relationship Id="rId_hyperlink_204" Type="http://schemas.openxmlformats.org/officeDocument/2006/relationships/hyperlink" Target="https://www.diodes.com/part/view/D24V0H1U2LP" TargetMode="External"/><Relationship Id="rId_hyperlink_205" Type="http://schemas.openxmlformats.org/officeDocument/2006/relationships/hyperlink" Target="https://www.diodes.com/datasheet/download/D24V0H2U3SO.pdf" TargetMode="External"/><Relationship Id="rId_hyperlink_206" Type="http://schemas.openxmlformats.org/officeDocument/2006/relationships/hyperlink" Target="https://www.diodes.com/part/view/D24V0H2U3SO" TargetMode="External"/><Relationship Id="rId_hyperlink_207" Type="http://schemas.openxmlformats.org/officeDocument/2006/relationships/hyperlink" Target="https://www.diodes.com/datasheet/download/D24V0L1B2LP.pdf" TargetMode="External"/><Relationship Id="rId_hyperlink_208" Type="http://schemas.openxmlformats.org/officeDocument/2006/relationships/hyperlink" Target="https://www.diodes.com/part/view/D24V0L1B2LP" TargetMode="External"/><Relationship Id="rId_hyperlink_209" Type="http://schemas.openxmlformats.org/officeDocument/2006/relationships/hyperlink" Target="https://www.diodes.com/datasheet/download/D24V0L1B2LPS.pdf" TargetMode="External"/><Relationship Id="rId_hyperlink_210" Type="http://schemas.openxmlformats.org/officeDocument/2006/relationships/hyperlink" Target="https://www.diodes.com/part/view/D24V0L1B2LPS" TargetMode="External"/><Relationship Id="rId_hyperlink_211" Type="http://schemas.openxmlformats.org/officeDocument/2006/relationships/hyperlink" Target="https://www.diodes.com/datasheet/download/D24V0L1B2LPSQ.pdf" TargetMode="External"/><Relationship Id="rId_hyperlink_212" Type="http://schemas.openxmlformats.org/officeDocument/2006/relationships/hyperlink" Target="https://www.diodes.com/part/view/D24V0L1B2LPSQ" TargetMode="External"/><Relationship Id="rId_hyperlink_213" Type="http://schemas.openxmlformats.org/officeDocument/2006/relationships/hyperlink" Target="https://www.diodes.com/datasheet/download/D24V0LA1B2LPQ.pdf" TargetMode="External"/><Relationship Id="rId_hyperlink_214" Type="http://schemas.openxmlformats.org/officeDocument/2006/relationships/hyperlink" Target="https://www.diodes.com/part/view/D24V0LA1B2LPQ" TargetMode="External"/><Relationship Id="rId_hyperlink_215" Type="http://schemas.openxmlformats.org/officeDocument/2006/relationships/hyperlink" Target="https://www.diodes.com/datasheet/download/D24V0P1BS2TQ.pdf" TargetMode="External"/><Relationship Id="rId_hyperlink_216" Type="http://schemas.openxmlformats.org/officeDocument/2006/relationships/hyperlink" Target="https://www.diodes.com/part/view/D24V0P1BS2TQ" TargetMode="External"/><Relationship Id="rId_hyperlink_217" Type="http://schemas.openxmlformats.org/officeDocument/2006/relationships/hyperlink" Target="https://www.diodes.com/datasheet/download/D24V0S1B2TQ.pdf" TargetMode="External"/><Relationship Id="rId_hyperlink_218" Type="http://schemas.openxmlformats.org/officeDocument/2006/relationships/hyperlink" Target="https://www.diodes.com/part/view/D24V0S1B2TQ" TargetMode="External"/><Relationship Id="rId_hyperlink_219" Type="http://schemas.openxmlformats.org/officeDocument/2006/relationships/hyperlink" Target="https://www.diodes.com/datasheet/download/D12V0S1U2LP1610_D50V0S1U2LP1610.pdf" TargetMode="External"/><Relationship Id="rId_hyperlink_220" Type="http://schemas.openxmlformats.org/officeDocument/2006/relationships/hyperlink" Target="https://www.diodes.com/part/view/D24V0S1U2LP1610" TargetMode="External"/><Relationship Id="rId_hyperlink_221" Type="http://schemas.openxmlformats.org/officeDocument/2006/relationships/hyperlink" Target="https://www.diodes.com/datasheet/download/D24V0S1U2LP1610Q.pdf" TargetMode="External"/><Relationship Id="rId_hyperlink_222" Type="http://schemas.openxmlformats.org/officeDocument/2006/relationships/hyperlink" Target="https://www.diodes.com/part/view/D24V0S1U2LP1610Q" TargetMode="External"/><Relationship Id="rId_hyperlink_223" Type="http://schemas.openxmlformats.org/officeDocument/2006/relationships/hyperlink" Target="https://www.diodes.com/datasheet/download/D24V0S1U2T.pdf" TargetMode="External"/><Relationship Id="rId_hyperlink_224" Type="http://schemas.openxmlformats.org/officeDocument/2006/relationships/hyperlink" Target="https://www.diodes.com/part/view/D24V0S1U2T" TargetMode="External"/><Relationship Id="rId_hyperlink_225" Type="http://schemas.openxmlformats.org/officeDocument/2006/relationships/hyperlink" Target="https://www.diodes.com/datasheet/download/D24V0S1U2TQ.pdf" TargetMode="External"/><Relationship Id="rId_hyperlink_226" Type="http://schemas.openxmlformats.org/officeDocument/2006/relationships/hyperlink" Target="https://www.diodes.com/part/view/D24V0S1U2TQ" TargetMode="External"/><Relationship Id="rId_hyperlink_227" Type="http://schemas.openxmlformats.org/officeDocument/2006/relationships/hyperlink" Target="https://www.diodes.com/datasheet/download/D7V5S1U3LP20-D48V0S1U3LP20.pdf" TargetMode="External"/><Relationship Id="rId_hyperlink_228" Type="http://schemas.openxmlformats.org/officeDocument/2006/relationships/hyperlink" Target="https://www.diodes.com/part/view/D24V0S1U3LP20" TargetMode="External"/><Relationship Id="rId_hyperlink_229" Type="http://schemas.openxmlformats.org/officeDocument/2006/relationships/hyperlink" Target="https://www.diodes.com/datasheet/download/D24V0S1UG3LP20.pdf" TargetMode="External"/><Relationship Id="rId_hyperlink_230" Type="http://schemas.openxmlformats.org/officeDocument/2006/relationships/hyperlink" Target="https://www.diodes.com/part/view/D24V0S1UG3LP20" TargetMode="External"/><Relationship Id="rId_hyperlink_231" Type="http://schemas.openxmlformats.org/officeDocument/2006/relationships/hyperlink" Target="https://www.diodes.com/datasheet/download/D24V0X1B2LP.pdf" TargetMode="External"/><Relationship Id="rId_hyperlink_232" Type="http://schemas.openxmlformats.org/officeDocument/2006/relationships/hyperlink" Target="https://www.diodes.com/part/view/D24V0X1B2LP" TargetMode="External"/><Relationship Id="rId_hyperlink_233" Type="http://schemas.openxmlformats.org/officeDocument/2006/relationships/hyperlink" Target="https://www.diodes.com/datasheet/download/D24V0X1B2LP4Q.pdf" TargetMode="External"/><Relationship Id="rId_hyperlink_234" Type="http://schemas.openxmlformats.org/officeDocument/2006/relationships/hyperlink" Target="https://www.diodes.com/part/view/D24V0X1B2LP4Q" TargetMode="External"/><Relationship Id="rId_hyperlink_235" Type="http://schemas.openxmlformats.org/officeDocument/2006/relationships/hyperlink" Target="https://www.diodes.com/datasheet/download/D24V0X1B2LPQ.pdf" TargetMode="External"/><Relationship Id="rId_hyperlink_236" Type="http://schemas.openxmlformats.org/officeDocument/2006/relationships/hyperlink" Target="https://www.diodes.com/part/view/D24V0X1B2LPQ" TargetMode="External"/><Relationship Id="rId_hyperlink_237" Type="http://schemas.openxmlformats.org/officeDocument/2006/relationships/hyperlink" Target="https://www.diodes.com/datasheet/download/D26V0H1U2LP16.pdf" TargetMode="External"/><Relationship Id="rId_hyperlink_238" Type="http://schemas.openxmlformats.org/officeDocument/2006/relationships/hyperlink" Target="https://www.diodes.com/part/view/D26V0H1U2LP16" TargetMode="External"/><Relationship Id="rId_hyperlink_239" Type="http://schemas.openxmlformats.org/officeDocument/2006/relationships/hyperlink" Target="https://www.diodes.com/datasheet/download/D26V0H1U2LP20.pdf" TargetMode="External"/><Relationship Id="rId_hyperlink_240" Type="http://schemas.openxmlformats.org/officeDocument/2006/relationships/hyperlink" Target="https://www.diodes.com/part/view/D26V0H1U2LP20" TargetMode="External"/><Relationship Id="rId_hyperlink_241" Type="http://schemas.openxmlformats.org/officeDocument/2006/relationships/hyperlink" Target="https://www.diodes.com/datasheet/download/D26V0S1U2LP20.pdf" TargetMode="External"/><Relationship Id="rId_hyperlink_242" Type="http://schemas.openxmlformats.org/officeDocument/2006/relationships/hyperlink" Target="https://www.diodes.com/part/view/D26V0S1U2LP20" TargetMode="External"/><Relationship Id="rId_hyperlink_243" Type="http://schemas.openxmlformats.org/officeDocument/2006/relationships/hyperlink" Target="https://www.diodes.com/datasheet/download/D7V5S1U3LP20-D48V0S1U3LP20.pdf" TargetMode="External"/><Relationship Id="rId_hyperlink_244" Type="http://schemas.openxmlformats.org/officeDocument/2006/relationships/hyperlink" Target="https://www.diodes.com/part/view/D26V0S1U3LP20" TargetMode="External"/><Relationship Id="rId_hyperlink_245" Type="http://schemas.openxmlformats.org/officeDocument/2006/relationships/hyperlink" Target="https://www.diodes.com/datasheet/download/D28V0H1U2P5Q.pdf" TargetMode="External"/><Relationship Id="rId_hyperlink_246" Type="http://schemas.openxmlformats.org/officeDocument/2006/relationships/hyperlink" Target="https://www.diodes.com/part/view/D28V0H1U2P5Q" TargetMode="External"/><Relationship Id="rId_hyperlink_247" Type="http://schemas.openxmlformats.org/officeDocument/2006/relationships/hyperlink" Target="https://www.diodes.com/datasheet/download/D12V0S1U2LP1610_D50V0S1U2LP1610.pdf" TargetMode="External"/><Relationship Id="rId_hyperlink_248" Type="http://schemas.openxmlformats.org/officeDocument/2006/relationships/hyperlink" Target="https://www.diodes.com/part/view/D28V0S1U2LP1610" TargetMode="External"/><Relationship Id="rId_hyperlink_249" Type="http://schemas.openxmlformats.org/officeDocument/2006/relationships/hyperlink" Target="https://www.diodes.com/datasheet/download/D28V0S1U3LP20.pdf" TargetMode="External"/><Relationship Id="rId_hyperlink_250" Type="http://schemas.openxmlformats.org/officeDocument/2006/relationships/hyperlink" Target="https://www.diodes.com/part/view/D28V0S1U3LP20" TargetMode="External"/><Relationship Id="rId_hyperlink_251" Type="http://schemas.openxmlformats.org/officeDocument/2006/relationships/hyperlink" Target="https://www.diodes.com/datasheet/download/D2V5F4U8MR.pdf" TargetMode="External"/><Relationship Id="rId_hyperlink_252" Type="http://schemas.openxmlformats.org/officeDocument/2006/relationships/hyperlink" Target="https://www.diodes.com/part/view/D2V5F4U8MR" TargetMode="External"/><Relationship Id="rId_hyperlink_253" Type="http://schemas.openxmlformats.org/officeDocument/2006/relationships/hyperlink" Target="https://www.diodes.com/datasheet/download/D2V5H1BS2LP.pdf" TargetMode="External"/><Relationship Id="rId_hyperlink_254" Type="http://schemas.openxmlformats.org/officeDocument/2006/relationships/hyperlink" Target="https://www.diodes.com/part/view/D2V5H1BS2LP" TargetMode="External"/><Relationship Id="rId_hyperlink_255" Type="http://schemas.openxmlformats.org/officeDocument/2006/relationships/hyperlink" Target="https://www.diodes.com/datasheet/download/D2V5H1BS2LP4.pdf" TargetMode="External"/><Relationship Id="rId_hyperlink_256" Type="http://schemas.openxmlformats.org/officeDocument/2006/relationships/hyperlink" Target="https://www.diodes.com/part/view/D2V5H1BS2LP4" TargetMode="External"/><Relationship Id="rId_hyperlink_257" Type="http://schemas.openxmlformats.org/officeDocument/2006/relationships/hyperlink" Target="https://www.diodes.com/datasheet/download/D2V5L1BS2LP.pdf" TargetMode="External"/><Relationship Id="rId_hyperlink_258" Type="http://schemas.openxmlformats.org/officeDocument/2006/relationships/hyperlink" Target="https://www.diodes.com/part/view/D2V5L1BS2LP" TargetMode="External"/><Relationship Id="rId_hyperlink_259" Type="http://schemas.openxmlformats.org/officeDocument/2006/relationships/hyperlink" Target="https://www.diodes.com/datasheet/download/D2V5L1BS2LP3.pdf" TargetMode="External"/><Relationship Id="rId_hyperlink_260" Type="http://schemas.openxmlformats.org/officeDocument/2006/relationships/hyperlink" Target="https://www.diodes.com/part/view/D2V5L1BS2LP3" TargetMode="External"/><Relationship Id="rId_hyperlink_261" Type="http://schemas.openxmlformats.org/officeDocument/2006/relationships/hyperlink" Target="https://www.diodes.com/datasheet/download/D2V5L1BS2LP3Q.pdf" TargetMode="External"/><Relationship Id="rId_hyperlink_262" Type="http://schemas.openxmlformats.org/officeDocument/2006/relationships/hyperlink" Target="https://www.diodes.com/part/view/D2V5L1BS2LP3Q" TargetMode="External"/><Relationship Id="rId_hyperlink_263" Type="http://schemas.openxmlformats.org/officeDocument/2006/relationships/hyperlink" Target="https://www.diodes.com/datasheet/download/D2V5L1BS2LP4.pdf" TargetMode="External"/><Relationship Id="rId_hyperlink_264" Type="http://schemas.openxmlformats.org/officeDocument/2006/relationships/hyperlink" Target="https://www.diodes.com/part/view/D2V5L1BS2LP4" TargetMode="External"/><Relationship Id="rId_hyperlink_265" Type="http://schemas.openxmlformats.org/officeDocument/2006/relationships/hyperlink" Target="https://www.diodes.com/datasheet/download/D2V5L4U8MR.pdf" TargetMode="External"/><Relationship Id="rId_hyperlink_266" Type="http://schemas.openxmlformats.org/officeDocument/2006/relationships/hyperlink" Target="https://www.diodes.com/part/view/D2V5L4U8MR" TargetMode="External"/><Relationship Id="rId_hyperlink_267" Type="http://schemas.openxmlformats.org/officeDocument/2006/relationships/hyperlink" Target="https://www.diodes.com/datasheet/download/D2V8F4U8MR.pdf" TargetMode="External"/><Relationship Id="rId_hyperlink_268" Type="http://schemas.openxmlformats.org/officeDocument/2006/relationships/hyperlink" Target="https://www.diodes.com/part/view/D2V8F4U8MR" TargetMode="External"/><Relationship Id="rId_hyperlink_269" Type="http://schemas.openxmlformats.org/officeDocument/2006/relationships/hyperlink" Target="https://www.diodes.com/datasheet/download/D7V5S1U3LP20-D48V0S1U3LP20.pdf" TargetMode="External"/><Relationship Id="rId_hyperlink_270" Type="http://schemas.openxmlformats.org/officeDocument/2006/relationships/hyperlink" Target="https://www.diodes.com/part/view/D30V0S1U3LP20" TargetMode="External"/><Relationship Id="rId_hyperlink_271" Type="http://schemas.openxmlformats.org/officeDocument/2006/relationships/hyperlink" Target="https://www.diodes.com/datasheet/download/D30V0S1UG3LP20.pdf" TargetMode="External"/><Relationship Id="rId_hyperlink_272" Type="http://schemas.openxmlformats.org/officeDocument/2006/relationships/hyperlink" Target="https://www.diodes.com/part/view/D30V0S1UG3LP20" TargetMode="External"/><Relationship Id="rId_hyperlink_273" Type="http://schemas.openxmlformats.org/officeDocument/2006/relationships/hyperlink" Target="https://www.diodes.com/datasheet/download/ds41785.pdf" TargetMode="External"/><Relationship Id="rId_hyperlink_274" Type="http://schemas.openxmlformats.org/officeDocument/2006/relationships/hyperlink" Target="https://www.diodes.com/part/view/D33V0S1U2LP1608" TargetMode="External"/><Relationship Id="rId_hyperlink_275" Type="http://schemas.openxmlformats.org/officeDocument/2006/relationships/hyperlink" Target="https://www.diodes.com/datasheet/download/D12V0S1U2LP1610_D50V0S1U2LP1610.pdf" TargetMode="External"/><Relationship Id="rId_hyperlink_276" Type="http://schemas.openxmlformats.org/officeDocument/2006/relationships/hyperlink" Target="https://www.diodes.com/part/view/D33V0S1U2LP1610" TargetMode="External"/><Relationship Id="rId_hyperlink_277" Type="http://schemas.openxmlformats.org/officeDocument/2006/relationships/hyperlink" Target="https://www.diodes.com/datasheet/download/D33V0S1UG3LP20.pdf" TargetMode="External"/><Relationship Id="rId_hyperlink_278" Type="http://schemas.openxmlformats.org/officeDocument/2006/relationships/hyperlink" Target="https://www.diodes.com/part/view/D33V0S1UG3LP20" TargetMode="External"/><Relationship Id="rId_hyperlink_279" Type="http://schemas.openxmlformats.org/officeDocument/2006/relationships/hyperlink" Target="https://www.diodes.com/datasheet/download/D34V0H1U2LP.pdf" TargetMode="External"/><Relationship Id="rId_hyperlink_280" Type="http://schemas.openxmlformats.org/officeDocument/2006/relationships/hyperlink" Target="https://www.diodes.com/part/view/D34V0H1U2LP" TargetMode="External"/><Relationship Id="rId_hyperlink_281" Type="http://schemas.openxmlformats.org/officeDocument/2006/relationships/hyperlink" Target="https://www.diodes.com/datasheet/download/D36V0L1B2LP.pdf" TargetMode="External"/><Relationship Id="rId_hyperlink_282" Type="http://schemas.openxmlformats.org/officeDocument/2006/relationships/hyperlink" Target="https://www.diodes.com/part/view/D36V0L1B2LP" TargetMode="External"/><Relationship Id="rId_hyperlink_283" Type="http://schemas.openxmlformats.org/officeDocument/2006/relationships/hyperlink" Target="https://www.diodes.com/datasheet/download/D36V0L1B2LPQ.pdf" TargetMode="External"/><Relationship Id="rId_hyperlink_284" Type="http://schemas.openxmlformats.org/officeDocument/2006/relationships/hyperlink" Target="https://www.diodes.com/part/view/D36V0L1B2LPQ" TargetMode="External"/><Relationship Id="rId_hyperlink_285" Type="http://schemas.openxmlformats.org/officeDocument/2006/relationships/hyperlink" Target="https://www.diodes.com/datasheet/download/D12V0S1U2LP1610_D50V0S1U2LP1610.pdf" TargetMode="External"/><Relationship Id="rId_hyperlink_286" Type="http://schemas.openxmlformats.org/officeDocument/2006/relationships/hyperlink" Target="https://www.diodes.com/part/view/D36V0S1U2LP1610" TargetMode="External"/><Relationship Id="rId_hyperlink_287" Type="http://schemas.openxmlformats.org/officeDocument/2006/relationships/hyperlink" Target="https://www.diodes.com/datasheet/download/D36V0S1U2LP1610Q.pdf" TargetMode="External"/><Relationship Id="rId_hyperlink_288" Type="http://schemas.openxmlformats.org/officeDocument/2006/relationships/hyperlink" Target="https://www.diodes.com/part/view/D36V0S1U2LP1610Q" TargetMode="External"/><Relationship Id="rId_hyperlink_289" Type="http://schemas.openxmlformats.org/officeDocument/2006/relationships/hyperlink" Target="https://www.diodes.com/datasheet/download/D7V5S1U3LP20-D48V0S1U3LP20.pdf" TargetMode="External"/><Relationship Id="rId_hyperlink_290" Type="http://schemas.openxmlformats.org/officeDocument/2006/relationships/hyperlink" Target="https://www.diodes.com/part/view/D36V0S1U3LP20" TargetMode="External"/><Relationship Id="rId_hyperlink_291" Type="http://schemas.openxmlformats.org/officeDocument/2006/relationships/hyperlink" Target="https://www.diodes.com/datasheet/download/D3V3AP2WF.pdf" TargetMode="External"/><Relationship Id="rId_hyperlink_292" Type="http://schemas.openxmlformats.org/officeDocument/2006/relationships/hyperlink" Target="https://www.diodes.com/part/view/D3V3AP2WF" TargetMode="External"/><Relationship Id="rId_hyperlink_293" Type="http://schemas.openxmlformats.org/officeDocument/2006/relationships/hyperlink" Target="https://www.diodes.com/datasheet/download/D3V3F2UD3LP.pdf" TargetMode="External"/><Relationship Id="rId_hyperlink_294" Type="http://schemas.openxmlformats.org/officeDocument/2006/relationships/hyperlink" Target="https://www.diodes.com/part/view/D3V3F2UD3LP" TargetMode="External"/><Relationship Id="rId_hyperlink_295" Type="http://schemas.openxmlformats.org/officeDocument/2006/relationships/hyperlink" Target="https://www.diodes.com/datasheet/download/D3V3F4U10LP.pdf" TargetMode="External"/><Relationship Id="rId_hyperlink_296" Type="http://schemas.openxmlformats.org/officeDocument/2006/relationships/hyperlink" Target="https://www.diodes.com/part/view/D3V3F4U10LP" TargetMode="External"/><Relationship Id="rId_hyperlink_297" Type="http://schemas.openxmlformats.org/officeDocument/2006/relationships/hyperlink" Target="https://www.diodes.com/datasheet/download/D3V3F4U10LPQ.pdf" TargetMode="External"/><Relationship Id="rId_hyperlink_298" Type="http://schemas.openxmlformats.org/officeDocument/2006/relationships/hyperlink" Target="https://www.diodes.com/part/view/D3V3F4U10LPQ" TargetMode="External"/><Relationship Id="rId_hyperlink_299" Type="http://schemas.openxmlformats.org/officeDocument/2006/relationships/hyperlink" Target="https://www.diodes.com/datasheet/download/D3V3F4U6S.pdf" TargetMode="External"/><Relationship Id="rId_hyperlink_300" Type="http://schemas.openxmlformats.org/officeDocument/2006/relationships/hyperlink" Target="https://www.diodes.com/part/view/D3V3F4U6S" TargetMode="External"/><Relationship Id="rId_hyperlink_301" Type="http://schemas.openxmlformats.org/officeDocument/2006/relationships/hyperlink" Target="https://www.diodes.com/datasheet/download/D3V3F4U8MR.pdf" TargetMode="External"/><Relationship Id="rId_hyperlink_302" Type="http://schemas.openxmlformats.org/officeDocument/2006/relationships/hyperlink" Target="https://www.diodes.com/part/view/D3V3F4U8MR" TargetMode="External"/><Relationship Id="rId_hyperlink_303" Type="http://schemas.openxmlformats.org/officeDocument/2006/relationships/hyperlink" Target="https://www.diodes.com/datasheet/download/D3V3F8U9LP3810.pdf" TargetMode="External"/><Relationship Id="rId_hyperlink_304" Type="http://schemas.openxmlformats.org/officeDocument/2006/relationships/hyperlink" Target="https://www.diodes.com/part/view/D3V3F8U9LP3810" TargetMode="External"/><Relationship Id="rId_hyperlink_305" Type="http://schemas.openxmlformats.org/officeDocument/2006/relationships/hyperlink" Target="https://www.diodes.com/datasheet/download/D3V3FA4U10LP.pdf" TargetMode="External"/><Relationship Id="rId_hyperlink_306" Type="http://schemas.openxmlformats.org/officeDocument/2006/relationships/hyperlink" Target="https://www.diodes.com/part/view/D3V3FA4U10LP" TargetMode="External"/><Relationship Id="rId_hyperlink_307" Type="http://schemas.openxmlformats.org/officeDocument/2006/relationships/hyperlink" Target="https://www.diodes.com/datasheet/download/D3V3H1B2LP.pdf" TargetMode="External"/><Relationship Id="rId_hyperlink_308" Type="http://schemas.openxmlformats.org/officeDocument/2006/relationships/hyperlink" Target="https://www.diodes.com/part/view/D3V3H1B2LP" TargetMode="External"/><Relationship Id="rId_hyperlink_309" Type="http://schemas.openxmlformats.org/officeDocument/2006/relationships/hyperlink" Target="https://www.diodes.com/datasheet/download/D3V3H1B2LPQ.pdf" TargetMode="External"/><Relationship Id="rId_hyperlink_310" Type="http://schemas.openxmlformats.org/officeDocument/2006/relationships/hyperlink" Target="https://www.diodes.com/part/view/D3V3H1B2LPQ" TargetMode="External"/><Relationship Id="rId_hyperlink_311" Type="http://schemas.openxmlformats.org/officeDocument/2006/relationships/hyperlink" Target="https://www.diodes.com/datasheet/download/D3V3H1U2LP.pdf" TargetMode="External"/><Relationship Id="rId_hyperlink_312" Type="http://schemas.openxmlformats.org/officeDocument/2006/relationships/hyperlink" Target="https://www.diodes.com/part/view/D3V3H1U2LP" TargetMode="External"/><Relationship Id="rId_hyperlink_313" Type="http://schemas.openxmlformats.org/officeDocument/2006/relationships/hyperlink" Target="https://www.diodes.com/datasheet/download/D3V3H1U2LPQ.pdf" TargetMode="External"/><Relationship Id="rId_hyperlink_314" Type="http://schemas.openxmlformats.org/officeDocument/2006/relationships/hyperlink" Target="https://www.diodes.com/part/view/D3V3H1U2LPQ" TargetMode="External"/><Relationship Id="rId_hyperlink_315" Type="http://schemas.openxmlformats.org/officeDocument/2006/relationships/hyperlink" Target="https://www.diodes.com/datasheet/download/D3V3HN1B2LP.pdf" TargetMode="External"/><Relationship Id="rId_hyperlink_316" Type="http://schemas.openxmlformats.org/officeDocument/2006/relationships/hyperlink" Target="https://www.diodes.com/part/view/D3V3HN1B2LP" TargetMode="External"/><Relationship Id="rId_hyperlink_317" Type="http://schemas.openxmlformats.org/officeDocument/2006/relationships/hyperlink" Target="https://www.diodes.com/datasheet/download/D3V3L1B2LP3.pdf" TargetMode="External"/><Relationship Id="rId_hyperlink_318" Type="http://schemas.openxmlformats.org/officeDocument/2006/relationships/hyperlink" Target="https://www.diodes.com/part/view/D3V3L1B2LP3" TargetMode="External"/><Relationship Id="rId_hyperlink_319" Type="http://schemas.openxmlformats.org/officeDocument/2006/relationships/hyperlink" Target="https://www.diodes.com/datasheet/download/D3V3L1B2LP3Q.pdf" TargetMode="External"/><Relationship Id="rId_hyperlink_320" Type="http://schemas.openxmlformats.org/officeDocument/2006/relationships/hyperlink" Target="https://www.diodes.com/part/view/D3V3L1B2LP3Q" TargetMode="External"/><Relationship Id="rId_hyperlink_321" Type="http://schemas.openxmlformats.org/officeDocument/2006/relationships/hyperlink" Target="https://www.diodes.com/datasheet/download/D3V3L1B2T.pdf" TargetMode="External"/><Relationship Id="rId_hyperlink_322" Type="http://schemas.openxmlformats.org/officeDocument/2006/relationships/hyperlink" Target="https://www.diodes.com/part/view/D3V3L1B2T" TargetMode="External"/><Relationship Id="rId_hyperlink_323" Type="http://schemas.openxmlformats.org/officeDocument/2006/relationships/hyperlink" Target="https://www.diodes.com/datasheet/download/D3V3L1B2WS.pdf" TargetMode="External"/><Relationship Id="rId_hyperlink_324" Type="http://schemas.openxmlformats.org/officeDocument/2006/relationships/hyperlink" Target="https://www.diodes.com/part/view/D3V3L1B2WS" TargetMode="External"/><Relationship Id="rId_hyperlink_325" Type="http://schemas.openxmlformats.org/officeDocument/2006/relationships/hyperlink" Target="https://www.diodes.com/datasheet/download/D3V3L2B3LP10.pdf" TargetMode="External"/><Relationship Id="rId_hyperlink_326" Type="http://schemas.openxmlformats.org/officeDocument/2006/relationships/hyperlink" Target="https://www.diodes.com/part/view/D3V3L2B3LP10" TargetMode="External"/><Relationship Id="rId_hyperlink_327" Type="http://schemas.openxmlformats.org/officeDocument/2006/relationships/hyperlink" Target="https://www.diodes.com/datasheet/download/D3V3L2BS3LP.pdf" TargetMode="External"/><Relationship Id="rId_hyperlink_328" Type="http://schemas.openxmlformats.org/officeDocument/2006/relationships/hyperlink" Target="https://www.diodes.com/part/view/D3V3L2BS3LP" TargetMode="External"/><Relationship Id="rId_hyperlink_329" Type="http://schemas.openxmlformats.org/officeDocument/2006/relationships/hyperlink" Target="https://www.diodes.com/datasheet/download/D3V3L2BS3LPQ.pdf" TargetMode="External"/><Relationship Id="rId_hyperlink_330" Type="http://schemas.openxmlformats.org/officeDocument/2006/relationships/hyperlink" Target="https://www.diodes.com/part/view/D3V3L2BS3LPQ" TargetMode="External"/><Relationship Id="rId_hyperlink_331" Type="http://schemas.openxmlformats.org/officeDocument/2006/relationships/hyperlink" Target="https://www.diodes.com/datasheet/download/D3V3L4BS4LP1308.pdf" TargetMode="External"/><Relationship Id="rId_hyperlink_332" Type="http://schemas.openxmlformats.org/officeDocument/2006/relationships/hyperlink" Target="https://www.diodes.com/part/view/D3V3L4BS4LP1308" TargetMode="External"/><Relationship Id="rId_hyperlink_333" Type="http://schemas.openxmlformats.org/officeDocument/2006/relationships/hyperlink" Target="https://www.diodes.com/datasheet/download/D3V3L4U8MR.pdf" TargetMode="External"/><Relationship Id="rId_hyperlink_334" Type="http://schemas.openxmlformats.org/officeDocument/2006/relationships/hyperlink" Target="https://www.diodes.com/part/view/D3V3L4U8MR" TargetMode="External"/><Relationship Id="rId_hyperlink_335" Type="http://schemas.openxmlformats.org/officeDocument/2006/relationships/hyperlink" Target="https://www.diodes.com/datasheet/download/D3V3M1U2LP3.pdf" TargetMode="External"/><Relationship Id="rId_hyperlink_336" Type="http://schemas.openxmlformats.org/officeDocument/2006/relationships/hyperlink" Target="https://www.diodes.com/part/view/D3V3M1U2LP3" TargetMode="External"/><Relationship Id="rId_hyperlink_337" Type="http://schemas.openxmlformats.org/officeDocument/2006/relationships/hyperlink" Target="https://www.diodes.com/datasheet/download/D3V3M1U2S9.pdf" TargetMode="External"/><Relationship Id="rId_hyperlink_338" Type="http://schemas.openxmlformats.org/officeDocument/2006/relationships/hyperlink" Target="https://www.diodes.com/part/view/D3V3M1U2S9" TargetMode="External"/><Relationship Id="rId_hyperlink_339" Type="http://schemas.openxmlformats.org/officeDocument/2006/relationships/hyperlink" Target="https://www.diodes.com/datasheet/download/D3V3M1U2S9Q.pdf" TargetMode="External"/><Relationship Id="rId_hyperlink_340" Type="http://schemas.openxmlformats.org/officeDocument/2006/relationships/hyperlink" Target="https://www.diodes.com/part/view/D3V3M1U2S9Q" TargetMode="External"/><Relationship Id="rId_hyperlink_341" Type="http://schemas.openxmlformats.org/officeDocument/2006/relationships/hyperlink" Target="https://www.diodes.com/datasheet/download/D3V3M2B3SO.pdf" TargetMode="External"/><Relationship Id="rId_hyperlink_342" Type="http://schemas.openxmlformats.org/officeDocument/2006/relationships/hyperlink" Target="https://www.diodes.com/part/view/D3V3M2B3SO" TargetMode="External"/><Relationship Id="rId_hyperlink_343" Type="http://schemas.openxmlformats.org/officeDocument/2006/relationships/hyperlink" Target="https://www.diodes.com/datasheet/download/D3V3P4U10LP26.pdf" TargetMode="External"/><Relationship Id="rId_hyperlink_344" Type="http://schemas.openxmlformats.org/officeDocument/2006/relationships/hyperlink" Target="https://www.diodes.com/part/view/D3V3P4U10LP26" TargetMode="External"/><Relationship Id="rId_hyperlink_345" Type="http://schemas.openxmlformats.org/officeDocument/2006/relationships/hyperlink" Target="https://www.diodes.com/datasheet/download/D3V3Q1B2LP3.pdf" TargetMode="External"/><Relationship Id="rId_hyperlink_346" Type="http://schemas.openxmlformats.org/officeDocument/2006/relationships/hyperlink" Target="https://www.diodes.com/part/view/D3V3Q1B2LP3" TargetMode="External"/><Relationship Id="rId_hyperlink_347" Type="http://schemas.openxmlformats.org/officeDocument/2006/relationships/hyperlink" Target="https://www.diodes.com/datasheet/download/D3V3S1B2LP.pdf" TargetMode="External"/><Relationship Id="rId_hyperlink_348" Type="http://schemas.openxmlformats.org/officeDocument/2006/relationships/hyperlink" Target="https://www.diodes.com/part/view/D3V3S1B2LP" TargetMode="External"/><Relationship Id="rId_hyperlink_349" Type="http://schemas.openxmlformats.org/officeDocument/2006/relationships/hyperlink" Target="https://www.diodes.com/datasheet/download/D3V3S1U2LP1610.pdf" TargetMode="External"/><Relationship Id="rId_hyperlink_350" Type="http://schemas.openxmlformats.org/officeDocument/2006/relationships/hyperlink" Target="https://www.diodes.com/part/view/D3V3S1U2LP1610" TargetMode="External"/><Relationship Id="rId_hyperlink_351" Type="http://schemas.openxmlformats.org/officeDocument/2006/relationships/hyperlink" Target="https://www.diodes.com/datasheet/download/D3V3S1U2LP1610Q.pdf" TargetMode="External"/><Relationship Id="rId_hyperlink_352" Type="http://schemas.openxmlformats.org/officeDocument/2006/relationships/hyperlink" Target="https://www.diodes.com/part/view/D3V3S1U2LP1610Q" TargetMode="External"/><Relationship Id="rId_hyperlink_353" Type="http://schemas.openxmlformats.org/officeDocument/2006/relationships/hyperlink" Target="https://www.diodes.com/datasheet/download/D3V3X4U10LP.pdf" TargetMode="External"/><Relationship Id="rId_hyperlink_354" Type="http://schemas.openxmlformats.org/officeDocument/2006/relationships/hyperlink" Target="https://www.diodes.com/part/view/D3V3X4U10LP" TargetMode="External"/><Relationship Id="rId_hyperlink_355" Type="http://schemas.openxmlformats.org/officeDocument/2006/relationships/hyperlink" Target="https://www.diodes.com/datasheet/download/D3V3X4U10LPQ.pdf" TargetMode="External"/><Relationship Id="rId_hyperlink_356" Type="http://schemas.openxmlformats.org/officeDocument/2006/relationships/hyperlink" Target="https://www.diodes.com/part/view/D3V3X4U10LPQ" TargetMode="External"/><Relationship Id="rId_hyperlink_357" Type="http://schemas.openxmlformats.org/officeDocument/2006/relationships/hyperlink" Target="https://www.diodes.com/datasheet/download/D3V3X8U9LP3810.pdf" TargetMode="External"/><Relationship Id="rId_hyperlink_358" Type="http://schemas.openxmlformats.org/officeDocument/2006/relationships/hyperlink" Target="https://www.diodes.com/part/view/D3V3X8U9LP3810" TargetMode="External"/><Relationship Id="rId_hyperlink_359" Type="http://schemas.openxmlformats.org/officeDocument/2006/relationships/hyperlink" Target="https://www.diodes.com/datasheet/download/D3V3XA4B10LP.pdf" TargetMode="External"/><Relationship Id="rId_hyperlink_360" Type="http://schemas.openxmlformats.org/officeDocument/2006/relationships/hyperlink" Target="https://www.diodes.com/part/view/D3V3XA4B10LP" TargetMode="External"/><Relationship Id="rId_hyperlink_361" Type="http://schemas.openxmlformats.org/officeDocument/2006/relationships/hyperlink" Target="https://www.diodes.com/datasheet/download/D3V3XS4B10LP.pdf" TargetMode="External"/><Relationship Id="rId_hyperlink_362" Type="http://schemas.openxmlformats.org/officeDocument/2006/relationships/hyperlink" Target="https://www.diodes.com/part/view/D3V3XS4B10LP" TargetMode="External"/><Relationship Id="rId_hyperlink_363" Type="http://schemas.openxmlformats.org/officeDocument/2006/relationships/hyperlink" Target="https://www.diodes.com/datasheet/download/D3V3Z1B2LP.pdf" TargetMode="External"/><Relationship Id="rId_hyperlink_364" Type="http://schemas.openxmlformats.org/officeDocument/2006/relationships/hyperlink" Target="https://www.diodes.com/part/view/D3V3Z1B2LP" TargetMode="External"/><Relationship Id="rId_hyperlink_365" Type="http://schemas.openxmlformats.org/officeDocument/2006/relationships/hyperlink" Target="https://www.diodes.com/datasheet/download/D3V3Z1B2LP3.pdf" TargetMode="External"/><Relationship Id="rId_hyperlink_366" Type="http://schemas.openxmlformats.org/officeDocument/2006/relationships/hyperlink" Target="https://www.diodes.com/part/view/D3V3Z1B2LP3" TargetMode="External"/><Relationship Id="rId_hyperlink_367" Type="http://schemas.openxmlformats.org/officeDocument/2006/relationships/hyperlink" Target="https://www.diodes.com/datasheet/download/D3V3Z1B2LPQ.pdf" TargetMode="External"/><Relationship Id="rId_hyperlink_368" Type="http://schemas.openxmlformats.org/officeDocument/2006/relationships/hyperlink" Target="https://www.diodes.com/part/view/D3V3Z1B2LPQ" TargetMode="External"/><Relationship Id="rId_hyperlink_369" Type="http://schemas.openxmlformats.org/officeDocument/2006/relationships/hyperlink" Target="https://www.diodes.com/datasheet/download/D3V3Z1B2LPSQ.pdf" TargetMode="External"/><Relationship Id="rId_hyperlink_370" Type="http://schemas.openxmlformats.org/officeDocument/2006/relationships/hyperlink" Target="https://www.diodes.com/part/view/D3V3Z1B2LPSQ" TargetMode="External"/><Relationship Id="rId_hyperlink_371" Type="http://schemas.openxmlformats.org/officeDocument/2006/relationships/hyperlink" Target="https://www.diodes.com/datasheet/download/D3V3Z1BD2CSP.pdf" TargetMode="External"/><Relationship Id="rId_hyperlink_372" Type="http://schemas.openxmlformats.org/officeDocument/2006/relationships/hyperlink" Target="https://www.diodes.com/part/view/D3V3Z1BD2CSP" TargetMode="External"/><Relationship Id="rId_hyperlink_373" Type="http://schemas.openxmlformats.org/officeDocument/2006/relationships/hyperlink" Target="https://www.diodes.com/datasheet/download/D3V3Z1BD2CSPQ.pdf" TargetMode="External"/><Relationship Id="rId_hyperlink_374" Type="http://schemas.openxmlformats.org/officeDocument/2006/relationships/hyperlink" Target="https://www.diodes.com/part/view/D3V3Z1BD2CSPQ" TargetMode="External"/><Relationship Id="rId_hyperlink_375" Type="http://schemas.openxmlformats.org/officeDocument/2006/relationships/hyperlink" Target="https://www.diodes.com/datasheet/download/D3V3Z4BD10LPQ.pdf" TargetMode="External"/><Relationship Id="rId_hyperlink_376" Type="http://schemas.openxmlformats.org/officeDocument/2006/relationships/hyperlink" Target="https://www.diodes.com/part/view/D3V3Z4BD10LPQ" TargetMode="External"/><Relationship Id="rId_hyperlink_377" Type="http://schemas.openxmlformats.org/officeDocument/2006/relationships/hyperlink" Target="https://www.diodes.com/datasheet/download/D3V3ZF1BD2CSP.pdf" TargetMode="External"/><Relationship Id="rId_hyperlink_378" Type="http://schemas.openxmlformats.org/officeDocument/2006/relationships/hyperlink" Target="https://www.diodes.com/part/view/D3V3ZF1BD2CSP" TargetMode="External"/><Relationship Id="rId_hyperlink_379" Type="http://schemas.openxmlformats.org/officeDocument/2006/relationships/hyperlink" Target="https://www.diodes.com/datasheet/download/ds41785.pdf" TargetMode="External"/><Relationship Id="rId_hyperlink_380" Type="http://schemas.openxmlformats.org/officeDocument/2006/relationships/hyperlink" Target="https://www.diodes.com/part/view/D40V0S1U2LP1608" TargetMode="External"/><Relationship Id="rId_hyperlink_381" Type="http://schemas.openxmlformats.org/officeDocument/2006/relationships/hyperlink" Target="https://www.diodes.com/datasheet/download/D40V0S1U2LP1608Q.pdf" TargetMode="External"/><Relationship Id="rId_hyperlink_382" Type="http://schemas.openxmlformats.org/officeDocument/2006/relationships/hyperlink" Target="https://www.diodes.com/part/view/D40V0S1U2LP1608Q" TargetMode="External"/><Relationship Id="rId_hyperlink_383" Type="http://schemas.openxmlformats.org/officeDocument/2006/relationships/hyperlink" Target="https://www.diodes.com/datasheet/download/D12V0S1U2LP1610_D50V0S1U2LP1610.pdf" TargetMode="External"/><Relationship Id="rId_hyperlink_384" Type="http://schemas.openxmlformats.org/officeDocument/2006/relationships/hyperlink" Target="https://www.diodes.com/part/view/D40V0S1U2LP1610" TargetMode="External"/><Relationship Id="rId_hyperlink_385" Type="http://schemas.openxmlformats.org/officeDocument/2006/relationships/hyperlink" Target="https://www.diodes.com/datasheet/download/D12V0S1U2LP1610_D50V0S1U2LP1610.pdf" TargetMode="External"/><Relationship Id="rId_hyperlink_386" Type="http://schemas.openxmlformats.org/officeDocument/2006/relationships/hyperlink" Target="https://www.diodes.com/part/view/D48V0S1U2LP1610" TargetMode="External"/><Relationship Id="rId_hyperlink_387" Type="http://schemas.openxmlformats.org/officeDocument/2006/relationships/hyperlink" Target="https://www.diodes.com/datasheet/download/D7V5S1U3LP20-D48V0S1U3LP20.pdf" TargetMode="External"/><Relationship Id="rId_hyperlink_388" Type="http://schemas.openxmlformats.org/officeDocument/2006/relationships/hyperlink" Target="https://www.diodes.com/part/view/D48V0S1U3LP20" TargetMode="External"/><Relationship Id="rId_hyperlink_389" Type="http://schemas.openxmlformats.org/officeDocument/2006/relationships/hyperlink" Target="https://www.diodes.com/datasheet/download/D4V5H1BS2LP.pdf" TargetMode="External"/><Relationship Id="rId_hyperlink_390" Type="http://schemas.openxmlformats.org/officeDocument/2006/relationships/hyperlink" Target="https://www.diodes.com/part/view/D4V5H1BS2LP" TargetMode="External"/><Relationship Id="rId_hyperlink_391" Type="http://schemas.openxmlformats.org/officeDocument/2006/relationships/hyperlink" Target="https://www.diodes.com/datasheet/download/D4V5H1BS2LP4.pdf" TargetMode="External"/><Relationship Id="rId_hyperlink_392" Type="http://schemas.openxmlformats.org/officeDocument/2006/relationships/hyperlink" Target="https://www.diodes.com/part/view/D4V5H1BS2LP4" TargetMode="External"/><Relationship Id="rId_hyperlink_393" Type="http://schemas.openxmlformats.org/officeDocument/2006/relationships/hyperlink" Target="https://www.diodes.com/datasheet/download/D4V5H1U2LP1610.pdf" TargetMode="External"/><Relationship Id="rId_hyperlink_394" Type="http://schemas.openxmlformats.org/officeDocument/2006/relationships/hyperlink" Target="https://www.diodes.com/part/view/D4V5H1U2LP1610" TargetMode="External"/><Relationship Id="rId_hyperlink_395" Type="http://schemas.openxmlformats.org/officeDocument/2006/relationships/hyperlink" Target="https://www.diodes.com/datasheet/download/D4V5H1U2LP1610Q.pdf" TargetMode="External"/><Relationship Id="rId_hyperlink_396" Type="http://schemas.openxmlformats.org/officeDocument/2006/relationships/hyperlink" Target="https://www.diodes.com/part/view/D4V5H1U2LP1610Q" TargetMode="External"/><Relationship Id="rId_hyperlink_397" Type="http://schemas.openxmlformats.org/officeDocument/2006/relationships/hyperlink" Target="https://www.diodes.com/datasheet/download/D4V7S1US2SLP.pdf" TargetMode="External"/><Relationship Id="rId_hyperlink_398" Type="http://schemas.openxmlformats.org/officeDocument/2006/relationships/hyperlink" Target="https://www.diodes.com/part/view/D4V7S1US2SLP" TargetMode="External"/><Relationship Id="rId_hyperlink_399" Type="http://schemas.openxmlformats.org/officeDocument/2006/relationships/hyperlink" Target="https://www.diodes.com/datasheet/download/ds41785.pdf" TargetMode="External"/><Relationship Id="rId_hyperlink_400" Type="http://schemas.openxmlformats.org/officeDocument/2006/relationships/hyperlink" Target="https://www.diodes.com/part/view/D50V0S1U2LP1608" TargetMode="External"/><Relationship Id="rId_hyperlink_401" Type="http://schemas.openxmlformats.org/officeDocument/2006/relationships/hyperlink" Target="https://www.diodes.com/datasheet/download/D12V0S1U2LP1610_D50V0S1U2LP1610.pdf" TargetMode="External"/><Relationship Id="rId_hyperlink_402" Type="http://schemas.openxmlformats.org/officeDocument/2006/relationships/hyperlink" Target="https://www.diodes.com/part/view/D50V0S1U2LP1610" TargetMode="External"/><Relationship Id="rId_hyperlink_403" Type="http://schemas.openxmlformats.org/officeDocument/2006/relationships/hyperlink" Target="https://www.diodes.com/datasheet/download/D55V0M1B2WS.pdf" TargetMode="External"/><Relationship Id="rId_hyperlink_404" Type="http://schemas.openxmlformats.org/officeDocument/2006/relationships/hyperlink" Target="https://www.diodes.com/part/view/D55V0M1B2WS" TargetMode="External"/><Relationship Id="rId_hyperlink_405" Type="http://schemas.openxmlformats.org/officeDocument/2006/relationships/hyperlink" Target="https://www.diodes.com/datasheet/download/D55V0M1B2WSQ.pdf" TargetMode="External"/><Relationship Id="rId_hyperlink_406" Type="http://schemas.openxmlformats.org/officeDocument/2006/relationships/hyperlink" Target="https://www.diodes.com/part/view/D55V0M1B2WSQ" TargetMode="External"/><Relationship Id="rId_hyperlink_407" Type="http://schemas.openxmlformats.org/officeDocument/2006/relationships/hyperlink" Target="https://www.diodes.com/datasheet/download/D58V0M4U8MR.pdf" TargetMode="External"/><Relationship Id="rId_hyperlink_408" Type="http://schemas.openxmlformats.org/officeDocument/2006/relationships/hyperlink" Target="https://www.diodes.com/part/view/D58V0M4U8MR" TargetMode="External"/><Relationship Id="rId_hyperlink_409" Type="http://schemas.openxmlformats.org/officeDocument/2006/relationships/hyperlink" Target="https://www.diodes.com/datasheet/download/D5V0AP2WF.pdf" TargetMode="External"/><Relationship Id="rId_hyperlink_410" Type="http://schemas.openxmlformats.org/officeDocument/2006/relationships/hyperlink" Target="https://www.diodes.com/part/view/D5V0AP2WF" TargetMode="External"/><Relationship Id="rId_hyperlink_411" Type="http://schemas.openxmlformats.org/officeDocument/2006/relationships/hyperlink" Target="https://www.diodes.com/datasheet/download/D5V0F1B2WS.pdf" TargetMode="External"/><Relationship Id="rId_hyperlink_412" Type="http://schemas.openxmlformats.org/officeDocument/2006/relationships/hyperlink" Target="https://www.diodes.com/part/view/D5V0F1B2WS" TargetMode="External"/><Relationship Id="rId_hyperlink_413" Type="http://schemas.openxmlformats.org/officeDocument/2006/relationships/hyperlink" Target="https://www.diodes.com/datasheet/download/D5V0F1U2LP.pdf" TargetMode="External"/><Relationship Id="rId_hyperlink_414" Type="http://schemas.openxmlformats.org/officeDocument/2006/relationships/hyperlink" Target="https://www.diodes.com/part/view/D5V0F1U2LP" TargetMode="External"/><Relationship Id="rId_hyperlink_415" Type="http://schemas.openxmlformats.org/officeDocument/2006/relationships/hyperlink" Target="https://www.diodes.com/datasheet/download/D5V0F1U2LP3.pdf" TargetMode="External"/><Relationship Id="rId_hyperlink_416" Type="http://schemas.openxmlformats.org/officeDocument/2006/relationships/hyperlink" Target="https://www.diodes.com/part/view/D5V0F1U2LP3" TargetMode="External"/><Relationship Id="rId_hyperlink_417" Type="http://schemas.openxmlformats.org/officeDocument/2006/relationships/hyperlink" Target="https://www.diodes.com/datasheet/download/D5V0F1U2LP3Q.pdf" TargetMode="External"/><Relationship Id="rId_hyperlink_418" Type="http://schemas.openxmlformats.org/officeDocument/2006/relationships/hyperlink" Target="https://www.diodes.com/part/view/D5V0F1U2LP3Q" TargetMode="External"/><Relationship Id="rId_hyperlink_419" Type="http://schemas.openxmlformats.org/officeDocument/2006/relationships/hyperlink" Target="https://www.diodes.com/datasheet/download/D5V0F1U2LPQ.pdf" TargetMode="External"/><Relationship Id="rId_hyperlink_420" Type="http://schemas.openxmlformats.org/officeDocument/2006/relationships/hyperlink" Target="https://www.diodes.com/part/view/D5V0F1U2LPQ" TargetMode="External"/><Relationship Id="rId_hyperlink_421" Type="http://schemas.openxmlformats.org/officeDocument/2006/relationships/hyperlink" Target="https://www.diodes.com/datasheet/download/D5V0F1U2S9.pdf" TargetMode="External"/><Relationship Id="rId_hyperlink_422" Type="http://schemas.openxmlformats.org/officeDocument/2006/relationships/hyperlink" Target="https://www.diodes.com/part/view/D5V0F1U2S9" TargetMode="External"/><Relationship Id="rId_hyperlink_423" Type="http://schemas.openxmlformats.org/officeDocument/2006/relationships/hyperlink" Target="https://www.diodes.com/datasheet/download/D5V0F1U2S9Q.pdf" TargetMode="External"/><Relationship Id="rId_hyperlink_424" Type="http://schemas.openxmlformats.org/officeDocument/2006/relationships/hyperlink" Target="https://www.diodes.com/part/view/D5V0F1U2S9Q" TargetMode="External"/><Relationship Id="rId_hyperlink_425" Type="http://schemas.openxmlformats.org/officeDocument/2006/relationships/hyperlink" Target="https://www.diodes.com/datasheet/download/D5V0F2U3LP.pdf" TargetMode="External"/><Relationship Id="rId_hyperlink_426" Type="http://schemas.openxmlformats.org/officeDocument/2006/relationships/hyperlink" Target="https://www.diodes.com/part/view/D5V0F2U3LP" TargetMode="External"/><Relationship Id="rId_hyperlink_427" Type="http://schemas.openxmlformats.org/officeDocument/2006/relationships/hyperlink" Target="https://www.diodes.com/datasheet/download/D5V0F2U3LP08.pdf" TargetMode="External"/><Relationship Id="rId_hyperlink_428" Type="http://schemas.openxmlformats.org/officeDocument/2006/relationships/hyperlink" Target="https://www.diodes.com/part/view/D5V0F2U3LP08" TargetMode="External"/><Relationship Id="rId_hyperlink_429" Type="http://schemas.openxmlformats.org/officeDocument/2006/relationships/hyperlink" Target="https://www.diodes.com/datasheet/download/D5V0F2U3LPQ.pdf" TargetMode="External"/><Relationship Id="rId_hyperlink_430" Type="http://schemas.openxmlformats.org/officeDocument/2006/relationships/hyperlink" Target="https://www.diodes.com/part/view/D5V0F2U3LPQ" TargetMode="External"/><Relationship Id="rId_hyperlink_431" Type="http://schemas.openxmlformats.org/officeDocument/2006/relationships/hyperlink" Target="https://www.diodes.com/datasheet/download/D5V0F2U3WQ.pdf" TargetMode="External"/><Relationship Id="rId_hyperlink_432" Type="http://schemas.openxmlformats.org/officeDocument/2006/relationships/hyperlink" Target="https://www.diodes.com/part/view/D5V0F2U3WQ" TargetMode="External"/><Relationship Id="rId_hyperlink_433" Type="http://schemas.openxmlformats.org/officeDocument/2006/relationships/hyperlink" Target="https://www.diodes.com/datasheet/download/D5V0F2U6LP.pdf" TargetMode="External"/><Relationship Id="rId_hyperlink_434" Type="http://schemas.openxmlformats.org/officeDocument/2006/relationships/hyperlink" Target="https://www.diodes.com/part/view/D5V0F2U6LP" TargetMode="External"/><Relationship Id="rId_hyperlink_435" Type="http://schemas.openxmlformats.org/officeDocument/2006/relationships/hyperlink" Target="https://www.diodes.com/datasheet/download/D5V0F3B6LP20.pdf" TargetMode="External"/><Relationship Id="rId_hyperlink_436" Type="http://schemas.openxmlformats.org/officeDocument/2006/relationships/hyperlink" Target="https://www.diodes.com/part/view/D5V0F3B6LP20" TargetMode="External"/><Relationship Id="rId_hyperlink_437" Type="http://schemas.openxmlformats.org/officeDocument/2006/relationships/hyperlink" Target="https://www.diodes.com/datasheet/download/D5V0F4U10LP.pdf" TargetMode="External"/><Relationship Id="rId_hyperlink_438" Type="http://schemas.openxmlformats.org/officeDocument/2006/relationships/hyperlink" Target="https://www.diodes.com/part/view/D5V0F4U10LP" TargetMode="External"/><Relationship Id="rId_hyperlink_439" Type="http://schemas.openxmlformats.org/officeDocument/2006/relationships/hyperlink" Target="https://www.diodes.com/datasheet/download/D5V0F4U10MR.pdf" TargetMode="External"/><Relationship Id="rId_hyperlink_440" Type="http://schemas.openxmlformats.org/officeDocument/2006/relationships/hyperlink" Target="https://www.diodes.com/part/view/D5V0F4U10MR" TargetMode="External"/><Relationship Id="rId_hyperlink_441" Type="http://schemas.openxmlformats.org/officeDocument/2006/relationships/hyperlink" Target="https://www.diodes.com/datasheet/download/D5V0F4U5P5.pdf" TargetMode="External"/><Relationship Id="rId_hyperlink_442" Type="http://schemas.openxmlformats.org/officeDocument/2006/relationships/hyperlink" Target="https://www.diodes.com/part/view/D5V0F4U5P5" TargetMode="External"/><Relationship Id="rId_hyperlink_443" Type="http://schemas.openxmlformats.org/officeDocument/2006/relationships/hyperlink" Target="https://www.diodes.com/datasheet/download/D5V0F4U6S.pdf" TargetMode="External"/><Relationship Id="rId_hyperlink_444" Type="http://schemas.openxmlformats.org/officeDocument/2006/relationships/hyperlink" Target="https://www.diodes.com/part/view/D5V0F4U6S" TargetMode="External"/><Relationship Id="rId_hyperlink_445" Type="http://schemas.openxmlformats.org/officeDocument/2006/relationships/hyperlink" Target="https://www.diodes.com/datasheet/download/D5V0F4U6SO.pdf" TargetMode="External"/><Relationship Id="rId_hyperlink_446" Type="http://schemas.openxmlformats.org/officeDocument/2006/relationships/hyperlink" Target="https://www.diodes.com/part/view/D5V0F4U6SO" TargetMode="External"/><Relationship Id="rId_hyperlink_447" Type="http://schemas.openxmlformats.org/officeDocument/2006/relationships/hyperlink" Target="https://www.diodes.com/datasheet/download/D5V0F4U6V.pdf" TargetMode="External"/><Relationship Id="rId_hyperlink_448" Type="http://schemas.openxmlformats.org/officeDocument/2006/relationships/hyperlink" Target="https://www.diodes.com/part/view/D5V0F4U6V" TargetMode="External"/><Relationship Id="rId_hyperlink_449" Type="http://schemas.openxmlformats.org/officeDocument/2006/relationships/hyperlink" Target="https://www.diodes.com/datasheet/download/D5V0F6U8LP33.pdf" TargetMode="External"/><Relationship Id="rId_hyperlink_450" Type="http://schemas.openxmlformats.org/officeDocument/2006/relationships/hyperlink" Target="https://www.diodes.com/part/view/D5V0F6U8LP33" TargetMode="External"/><Relationship Id="rId_hyperlink_451" Type="http://schemas.openxmlformats.org/officeDocument/2006/relationships/hyperlink" Target="https://www.diodes.com/datasheet/download/D5V0FA1B2WS.pdf" TargetMode="External"/><Relationship Id="rId_hyperlink_452" Type="http://schemas.openxmlformats.org/officeDocument/2006/relationships/hyperlink" Target="https://www.diodes.com/part/view/D5V0FA1B2WS" TargetMode="External"/><Relationship Id="rId_hyperlink_453" Type="http://schemas.openxmlformats.org/officeDocument/2006/relationships/hyperlink" Target="https://www.diodes.com/datasheet/download/D5V0FS4U10LP.pdf" TargetMode="External"/><Relationship Id="rId_hyperlink_454" Type="http://schemas.openxmlformats.org/officeDocument/2006/relationships/hyperlink" Target="https://www.diodes.com/part/view/D5V0FS4U10LP" TargetMode="External"/><Relationship Id="rId_hyperlink_455" Type="http://schemas.openxmlformats.org/officeDocument/2006/relationships/hyperlink" Target="https://www.diodes.com/datasheet/download/D5V0H1B2LP.pdf" TargetMode="External"/><Relationship Id="rId_hyperlink_456" Type="http://schemas.openxmlformats.org/officeDocument/2006/relationships/hyperlink" Target="https://www.diodes.com/part/view/D5V0H1B2LP" TargetMode="External"/><Relationship Id="rId_hyperlink_457" Type="http://schemas.openxmlformats.org/officeDocument/2006/relationships/hyperlink" Target="https://www.diodes.com/datasheet/download/D5V0H1B2LPQ.pdf" TargetMode="External"/><Relationship Id="rId_hyperlink_458" Type="http://schemas.openxmlformats.org/officeDocument/2006/relationships/hyperlink" Target="https://www.diodes.com/part/view/D5V0H1B2LPQ" TargetMode="External"/><Relationship Id="rId_hyperlink_459" Type="http://schemas.openxmlformats.org/officeDocument/2006/relationships/hyperlink" Target="https://www.diodes.com/datasheet/download/D5V0H1U2LP.pdf" TargetMode="External"/><Relationship Id="rId_hyperlink_460" Type="http://schemas.openxmlformats.org/officeDocument/2006/relationships/hyperlink" Target="https://www.diodes.com/part/view/D5V0H1U2LP" TargetMode="External"/><Relationship Id="rId_hyperlink_461" Type="http://schemas.openxmlformats.org/officeDocument/2006/relationships/hyperlink" Target="https://www.diodes.com/datasheet/download/D5V0H1U2LP1610.pdf" TargetMode="External"/><Relationship Id="rId_hyperlink_462" Type="http://schemas.openxmlformats.org/officeDocument/2006/relationships/hyperlink" Target="https://www.diodes.com/part/view/D5V0H1U2LP1610" TargetMode="External"/><Relationship Id="rId_hyperlink_463" Type="http://schemas.openxmlformats.org/officeDocument/2006/relationships/hyperlink" Target="https://www.diodes.com/datasheet/download/D5V0H1U2LP1610Q.pdf" TargetMode="External"/><Relationship Id="rId_hyperlink_464" Type="http://schemas.openxmlformats.org/officeDocument/2006/relationships/hyperlink" Target="https://www.diodes.com/part/view/D5V0H1U2LP1610Q" TargetMode="External"/><Relationship Id="rId_hyperlink_465" Type="http://schemas.openxmlformats.org/officeDocument/2006/relationships/hyperlink" Target="https://www.diodes.com/datasheet/download/D5V0H1U2LPQ.pdf" TargetMode="External"/><Relationship Id="rId_hyperlink_466" Type="http://schemas.openxmlformats.org/officeDocument/2006/relationships/hyperlink" Target="https://www.diodes.com/part/view/D5V0H1U2LPQ" TargetMode="External"/><Relationship Id="rId_hyperlink_467" Type="http://schemas.openxmlformats.org/officeDocument/2006/relationships/hyperlink" Target="https://www.diodes.com/datasheet/download/D5V0H2U3SO.pdf" TargetMode="External"/><Relationship Id="rId_hyperlink_468" Type="http://schemas.openxmlformats.org/officeDocument/2006/relationships/hyperlink" Target="https://www.diodes.com/part/view/D5V0H2U3SO" TargetMode="External"/><Relationship Id="rId_hyperlink_469" Type="http://schemas.openxmlformats.org/officeDocument/2006/relationships/hyperlink" Target="https://www.diodes.com/datasheet/download/D5V0HA2U3SO.pdf" TargetMode="External"/><Relationship Id="rId_hyperlink_470" Type="http://schemas.openxmlformats.org/officeDocument/2006/relationships/hyperlink" Target="https://www.diodes.com/part/view/D5V0HA2U3SO" TargetMode="External"/><Relationship Id="rId_hyperlink_471" Type="http://schemas.openxmlformats.org/officeDocument/2006/relationships/hyperlink" Target="https://www.diodes.com/datasheet/download/D5V0L1B2LP.pdf" TargetMode="External"/><Relationship Id="rId_hyperlink_472" Type="http://schemas.openxmlformats.org/officeDocument/2006/relationships/hyperlink" Target="https://www.diodes.com/part/view/D5V0L1B2LP" TargetMode="External"/><Relationship Id="rId_hyperlink_473" Type="http://schemas.openxmlformats.org/officeDocument/2006/relationships/hyperlink" Target="https://www.diodes.com/datasheet/download/D5V0L1B2LP3.pdf" TargetMode="External"/><Relationship Id="rId_hyperlink_474" Type="http://schemas.openxmlformats.org/officeDocument/2006/relationships/hyperlink" Target="https://www.diodes.com/part/view/D5V0L1B2LP3" TargetMode="External"/><Relationship Id="rId_hyperlink_475" Type="http://schemas.openxmlformats.org/officeDocument/2006/relationships/hyperlink" Target="https://www.diodes.com/datasheet/download/D5V0L1B2LP3Q.pdf" TargetMode="External"/><Relationship Id="rId_hyperlink_476" Type="http://schemas.openxmlformats.org/officeDocument/2006/relationships/hyperlink" Target="https://www.diodes.com/part/view/D5V0L1B2LP3Q" TargetMode="External"/><Relationship Id="rId_hyperlink_477" Type="http://schemas.openxmlformats.org/officeDocument/2006/relationships/hyperlink" Target="https://www.diodes.com/datasheet/download/D5V0L1B2LP4.pdf" TargetMode="External"/><Relationship Id="rId_hyperlink_478" Type="http://schemas.openxmlformats.org/officeDocument/2006/relationships/hyperlink" Target="https://www.diodes.com/part/view/D5V0L1B2LP4" TargetMode="External"/><Relationship Id="rId_hyperlink_479" Type="http://schemas.openxmlformats.org/officeDocument/2006/relationships/hyperlink" Target="https://www.diodes.com/datasheet/download/D5V0L1B2LPS.pdf" TargetMode="External"/><Relationship Id="rId_hyperlink_480" Type="http://schemas.openxmlformats.org/officeDocument/2006/relationships/hyperlink" Target="https://www.diodes.com/part/view/D5V0L1B2LPS" TargetMode="External"/><Relationship Id="rId_hyperlink_481" Type="http://schemas.openxmlformats.org/officeDocument/2006/relationships/hyperlink" Target="https://www.diodes.com/datasheet/download/D5V0L1B2LPS.pdf" TargetMode="External"/><Relationship Id="rId_hyperlink_482" Type="http://schemas.openxmlformats.org/officeDocument/2006/relationships/hyperlink" Target="https://www.diodes.com/part/view/D5V0L1B2LPSQ" TargetMode="External"/><Relationship Id="rId_hyperlink_483" Type="http://schemas.openxmlformats.org/officeDocument/2006/relationships/hyperlink" Target="https://www.diodes.com/datasheet/download/D5V0L1B2S9.pdf" TargetMode="External"/><Relationship Id="rId_hyperlink_484" Type="http://schemas.openxmlformats.org/officeDocument/2006/relationships/hyperlink" Target="https://www.diodes.com/part/view/D5V0L1B2S9" TargetMode="External"/><Relationship Id="rId_hyperlink_485" Type="http://schemas.openxmlformats.org/officeDocument/2006/relationships/hyperlink" Target="https://www.diodes.com/datasheet/download/D5V0L1B2T.pdf" TargetMode="External"/><Relationship Id="rId_hyperlink_486" Type="http://schemas.openxmlformats.org/officeDocument/2006/relationships/hyperlink" Target="https://www.diodes.com/part/view/D5V0L1B2T" TargetMode="External"/><Relationship Id="rId_hyperlink_487" Type="http://schemas.openxmlformats.org/officeDocument/2006/relationships/hyperlink" Target="https://www.diodes.com/datasheet/download/D5V0L1B2TQ.pdf" TargetMode="External"/><Relationship Id="rId_hyperlink_488" Type="http://schemas.openxmlformats.org/officeDocument/2006/relationships/hyperlink" Target="https://www.diodes.com/part/view/D5V0L1B2TQ" TargetMode="External"/><Relationship Id="rId_hyperlink_489" Type="http://schemas.openxmlformats.org/officeDocument/2006/relationships/hyperlink" Target="https://www.diodes.com/datasheet/download/D5V0L1B2WS.pdf" TargetMode="External"/><Relationship Id="rId_hyperlink_490" Type="http://schemas.openxmlformats.org/officeDocument/2006/relationships/hyperlink" Target="https://www.diodes.com/part/view/D5V0L1B2WS" TargetMode="External"/><Relationship Id="rId_hyperlink_491" Type="http://schemas.openxmlformats.org/officeDocument/2006/relationships/hyperlink" Target="https://www.diodes.com/datasheet/download/D5V0L2B3SO.pdf" TargetMode="External"/><Relationship Id="rId_hyperlink_492" Type="http://schemas.openxmlformats.org/officeDocument/2006/relationships/hyperlink" Target="https://www.diodes.com/part/view/D5V0L2B3SO" TargetMode="External"/><Relationship Id="rId_hyperlink_493" Type="http://schemas.openxmlformats.org/officeDocument/2006/relationships/hyperlink" Target="https://www.diodes.com/datasheet/download/D5V0L2B3T.pdf" TargetMode="External"/><Relationship Id="rId_hyperlink_494" Type="http://schemas.openxmlformats.org/officeDocument/2006/relationships/hyperlink" Target="https://www.diodes.com/part/view/D5V0L2B3T" TargetMode="External"/><Relationship Id="rId_hyperlink_495" Type="http://schemas.openxmlformats.org/officeDocument/2006/relationships/hyperlink" Target="https://www.diodes.com/datasheet/download/D5V0L2B3W.pdf" TargetMode="External"/><Relationship Id="rId_hyperlink_496" Type="http://schemas.openxmlformats.org/officeDocument/2006/relationships/hyperlink" Target="https://www.diodes.com/part/view/D5V0L2B3W" TargetMode="External"/><Relationship Id="rId_hyperlink_497" Type="http://schemas.openxmlformats.org/officeDocument/2006/relationships/hyperlink" Target="https://www.diodes.com/datasheet/download/D5V0L4B5S.pdf" TargetMode="External"/><Relationship Id="rId_hyperlink_498" Type="http://schemas.openxmlformats.org/officeDocument/2006/relationships/hyperlink" Target="https://www.diodes.com/part/view/D5V0L4B5S" TargetMode="External"/><Relationship Id="rId_hyperlink_499" Type="http://schemas.openxmlformats.org/officeDocument/2006/relationships/hyperlink" Target="https://www.diodes.com/datasheet/download/D5V0L4B5SO.pdf" TargetMode="External"/><Relationship Id="rId_hyperlink_500" Type="http://schemas.openxmlformats.org/officeDocument/2006/relationships/hyperlink" Target="https://www.diodes.com/part/view/D5V0L4B5SO" TargetMode="External"/><Relationship Id="rId_hyperlink_501" Type="http://schemas.openxmlformats.org/officeDocument/2006/relationships/hyperlink" Target="https://www.diodes.com/datasheet/download/D5V0L4B5SOQ.pdf" TargetMode="External"/><Relationship Id="rId_hyperlink_502" Type="http://schemas.openxmlformats.org/officeDocument/2006/relationships/hyperlink" Target="https://www.diodes.com/part/view/D5V0L4B5SOQ" TargetMode="External"/><Relationship Id="rId_hyperlink_503" Type="http://schemas.openxmlformats.org/officeDocument/2006/relationships/hyperlink" Target="https://www.diodes.com/datasheet/download/D5V0L4B5TS.pdf" TargetMode="External"/><Relationship Id="rId_hyperlink_504" Type="http://schemas.openxmlformats.org/officeDocument/2006/relationships/hyperlink" Target="https://www.diodes.com/part/view/D5V0L4B5TS" TargetMode="External"/><Relationship Id="rId_hyperlink_505" Type="http://schemas.openxmlformats.org/officeDocument/2006/relationships/hyperlink" Target="https://www.diodes.com/datasheet/download/D5V0L4B5V.pdf" TargetMode="External"/><Relationship Id="rId_hyperlink_506" Type="http://schemas.openxmlformats.org/officeDocument/2006/relationships/hyperlink" Target="https://www.diodes.com/part/view/D5V0L4B5V" TargetMode="External"/><Relationship Id="rId_hyperlink_507" Type="http://schemas.openxmlformats.org/officeDocument/2006/relationships/hyperlink" Target="https://www.diodes.com/datasheet/download/D5V0M1U2LP3.pdf" TargetMode="External"/><Relationship Id="rId_hyperlink_508" Type="http://schemas.openxmlformats.org/officeDocument/2006/relationships/hyperlink" Target="https://www.diodes.com/part/view/D5V0M1U2LP3" TargetMode="External"/><Relationship Id="rId_hyperlink_509" Type="http://schemas.openxmlformats.org/officeDocument/2006/relationships/hyperlink" Target="https://www.diodes.com/datasheet/download/D5V0M1U2S9.pdf" TargetMode="External"/><Relationship Id="rId_hyperlink_510" Type="http://schemas.openxmlformats.org/officeDocument/2006/relationships/hyperlink" Target="https://www.diodes.com/part/view/D5V0M1U2S9" TargetMode="External"/><Relationship Id="rId_hyperlink_511" Type="http://schemas.openxmlformats.org/officeDocument/2006/relationships/hyperlink" Target="https://www.diodes.com/datasheet/download/D5V0M1U2S9Q.pdf" TargetMode="External"/><Relationship Id="rId_hyperlink_512" Type="http://schemas.openxmlformats.org/officeDocument/2006/relationships/hyperlink" Target="https://www.diodes.com/part/view/D5V0M1U2S9Q" TargetMode="External"/><Relationship Id="rId_hyperlink_513" Type="http://schemas.openxmlformats.org/officeDocument/2006/relationships/hyperlink" Target="https://www.diodes.com/datasheet/download/D5V0M2B3LP.pdf" TargetMode="External"/><Relationship Id="rId_hyperlink_514" Type="http://schemas.openxmlformats.org/officeDocument/2006/relationships/hyperlink" Target="https://www.diodes.com/part/view/D5V0M2B3LP" TargetMode="External"/><Relationship Id="rId_hyperlink_515" Type="http://schemas.openxmlformats.org/officeDocument/2006/relationships/hyperlink" Target="https://www.diodes.com/datasheet/download/D5V0M2B3LP10.pdf" TargetMode="External"/><Relationship Id="rId_hyperlink_516" Type="http://schemas.openxmlformats.org/officeDocument/2006/relationships/hyperlink" Target="https://www.diodes.com/part/view/D5V0M2B3LP10" TargetMode="External"/><Relationship Id="rId_hyperlink_517" Type="http://schemas.openxmlformats.org/officeDocument/2006/relationships/hyperlink" Target="https://www.diodes.com/datasheet/download/D5V0M5B6LP16.pdf" TargetMode="External"/><Relationship Id="rId_hyperlink_518" Type="http://schemas.openxmlformats.org/officeDocument/2006/relationships/hyperlink" Target="https://www.diodes.com/part/view/D5V0M5B6LP16" TargetMode="External"/><Relationship Id="rId_hyperlink_519" Type="http://schemas.openxmlformats.org/officeDocument/2006/relationships/hyperlink" Target="https://www.diodes.com/datasheet/download/D5V0M6B6V.pdf" TargetMode="External"/><Relationship Id="rId_hyperlink_520" Type="http://schemas.openxmlformats.org/officeDocument/2006/relationships/hyperlink" Target="https://www.diodes.com/part/view/D5V0M6B6V" TargetMode="External"/><Relationship Id="rId_hyperlink_521" Type="http://schemas.openxmlformats.org/officeDocument/2006/relationships/hyperlink" Target="https://www.diodes.com/datasheet/download/D5V0P1B2LP.pdf" TargetMode="External"/><Relationship Id="rId_hyperlink_522" Type="http://schemas.openxmlformats.org/officeDocument/2006/relationships/hyperlink" Target="https://www.diodes.com/part/view/D5V0P1B2LP" TargetMode="External"/><Relationship Id="rId_hyperlink_523" Type="http://schemas.openxmlformats.org/officeDocument/2006/relationships/hyperlink" Target="https://www.diodes.com/datasheet/download/D5V0P1B2LP3.pdf" TargetMode="External"/><Relationship Id="rId_hyperlink_524" Type="http://schemas.openxmlformats.org/officeDocument/2006/relationships/hyperlink" Target="https://www.diodes.com/part/view/D5V0P1B2LP3" TargetMode="External"/><Relationship Id="rId_hyperlink_525" Type="http://schemas.openxmlformats.org/officeDocument/2006/relationships/hyperlink" Target="https://www.diodes.com/datasheet/download/D5V0P4B5LP08.pdf" TargetMode="External"/><Relationship Id="rId_hyperlink_526" Type="http://schemas.openxmlformats.org/officeDocument/2006/relationships/hyperlink" Target="https://www.diodes.com/part/view/D5V0P4B5LP08" TargetMode="External"/><Relationship Id="rId_hyperlink_527" Type="http://schemas.openxmlformats.org/officeDocument/2006/relationships/hyperlink" Target="https://www.diodes.com/datasheet/download/D5V0P4UR6SO.pdf" TargetMode="External"/><Relationship Id="rId_hyperlink_528" Type="http://schemas.openxmlformats.org/officeDocument/2006/relationships/hyperlink" Target="https://www.diodes.com/part/view/D5V0P4UR6SO" TargetMode="External"/><Relationship Id="rId_hyperlink_529" Type="http://schemas.openxmlformats.org/officeDocument/2006/relationships/hyperlink" Target="https://www.diodes.com/datasheet/download/D5V0P4UR6SOQ.pdf" TargetMode="External"/><Relationship Id="rId_hyperlink_530" Type="http://schemas.openxmlformats.org/officeDocument/2006/relationships/hyperlink" Target="https://www.diodes.com/part/view/D5V0P4UR6SOQ" TargetMode="External"/><Relationship Id="rId_hyperlink_531" Type="http://schemas.openxmlformats.org/officeDocument/2006/relationships/hyperlink" Target="https://www.diodes.com/datasheet/download/D5V0P4URL6SO.pdf" TargetMode="External"/><Relationship Id="rId_hyperlink_532" Type="http://schemas.openxmlformats.org/officeDocument/2006/relationships/hyperlink" Target="https://www.diodes.com/part/view/D5V0P4URL6SO" TargetMode="External"/><Relationship Id="rId_hyperlink_533" Type="http://schemas.openxmlformats.org/officeDocument/2006/relationships/hyperlink" Target="https://www.diodes.com/datasheet/download/D5V0Q1B2LP3.pdf" TargetMode="External"/><Relationship Id="rId_hyperlink_534" Type="http://schemas.openxmlformats.org/officeDocument/2006/relationships/hyperlink" Target="https://www.diodes.com/part/view/D5V0Q1B2LP3" TargetMode="External"/><Relationship Id="rId_hyperlink_535" Type="http://schemas.openxmlformats.org/officeDocument/2006/relationships/hyperlink" Target="https://www.diodes.com/datasheet/download/D5V0S1B2LP.pdf" TargetMode="External"/><Relationship Id="rId_hyperlink_536" Type="http://schemas.openxmlformats.org/officeDocument/2006/relationships/hyperlink" Target="https://www.diodes.com/part/view/D5V0S1B2LP" TargetMode="External"/><Relationship Id="rId_hyperlink_537" Type="http://schemas.openxmlformats.org/officeDocument/2006/relationships/hyperlink" Target="https://www.diodes.com/datasheet/download/D5V0S1U2LP.pdf" TargetMode="External"/><Relationship Id="rId_hyperlink_538" Type="http://schemas.openxmlformats.org/officeDocument/2006/relationships/hyperlink" Target="https://www.diodes.com/part/view/D5V0S1U2LP" TargetMode="External"/><Relationship Id="rId_hyperlink_539" Type="http://schemas.openxmlformats.org/officeDocument/2006/relationships/hyperlink" Target="https://www.diodes.com/datasheet/download/ds41785.pdf" TargetMode="External"/><Relationship Id="rId_hyperlink_540" Type="http://schemas.openxmlformats.org/officeDocument/2006/relationships/hyperlink" Target="https://www.diodes.com/part/view/D5V0S1U2LP1608" TargetMode="External"/><Relationship Id="rId_hyperlink_541" Type="http://schemas.openxmlformats.org/officeDocument/2006/relationships/hyperlink" Target="https://www.diodes.com/datasheet/download/D5V0S1U2LP1608A.pdf" TargetMode="External"/><Relationship Id="rId_hyperlink_542" Type="http://schemas.openxmlformats.org/officeDocument/2006/relationships/hyperlink" Target="https://www.diodes.com/part/view/D5V0S1U2LP1608A" TargetMode="External"/><Relationship Id="rId_hyperlink_543" Type="http://schemas.openxmlformats.org/officeDocument/2006/relationships/hyperlink" Target="https://www.diodes.com/datasheet/download/D5V0S1U2LP1610.pdf" TargetMode="External"/><Relationship Id="rId_hyperlink_544" Type="http://schemas.openxmlformats.org/officeDocument/2006/relationships/hyperlink" Target="https://www.diodes.com/part/view/D5V0S1U2LP1610" TargetMode="External"/><Relationship Id="rId_hyperlink_545" Type="http://schemas.openxmlformats.org/officeDocument/2006/relationships/hyperlink" Target="https://www.diodes.com/datasheet/download/D5V0S1U2LP1610Q.pdf" TargetMode="External"/><Relationship Id="rId_hyperlink_546" Type="http://schemas.openxmlformats.org/officeDocument/2006/relationships/hyperlink" Target="https://www.diodes.com/part/view/D5V0S1U2LP1610Q" TargetMode="External"/><Relationship Id="rId_hyperlink_547" Type="http://schemas.openxmlformats.org/officeDocument/2006/relationships/hyperlink" Target="https://www.diodes.com/datasheet/download/D5V0S1U2LPSQ.pdf" TargetMode="External"/><Relationship Id="rId_hyperlink_548" Type="http://schemas.openxmlformats.org/officeDocument/2006/relationships/hyperlink" Target="https://www.diodes.com/part/view/D5V0S1U2LPSQ" TargetMode="External"/><Relationship Id="rId_hyperlink_549" Type="http://schemas.openxmlformats.org/officeDocument/2006/relationships/hyperlink" Target="https://www.diodes.com/datasheet/download/D5V0S1U2WS.pdf" TargetMode="External"/><Relationship Id="rId_hyperlink_550" Type="http://schemas.openxmlformats.org/officeDocument/2006/relationships/hyperlink" Target="https://www.diodes.com/part/view/D5V0S1U2WS" TargetMode="External"/><Relationship Id="rId_hyperlink_551" Type="http://schemas.openxmlformats.org/officeDocument/2006/relationships/hyperlink" Target="https://www.diodes.com/datasheet/download/D5V0S1UN2LP1610.pdf" TargetMode="External"/><Relationship Id="rId_hyperlink_552" Type="http://schemas.openxmlformats.org/officeDocument/2006/relationships/hyperlink" Target="https://www.diodes.com/part/view/D5V0S1UN2LP1610" TargetMode="External"/><Relationship Id="rId_hyperlink_553" Type="http://schemas.openxmlformats.org/officeDocument/2006/relationships/hyperlink" Target="https://www.diodes.com/datasheet/download/D5V0S1US2LP.pdf" TargetMode="External"/><Relationship Id="rId_hyperlink_554" Type="http://schemas.openxmlformats.org/officeDocument/2006/relationships/hyperlink" Target="https://www.diodes.com/part/view/D5V0S1US2LP" TargetMode="External"/><Relationship Id="rId_hyperlink_555" Type="http://schemas.openxmlformats.org/officeDocument/2006/relationships/hyperlink" Target="https://www.diodes.com/datasheet/download/D5V0S1US2SLP.pdf" TargetMode="External"/><Relationship Id="rId_hyperlink_556" Type="http://schemas.openxmlformats.org/officeDocument/2006/relationships/hyperlink" Target="https://www.diodes.com/part/view/D5V0S1US2SLP" TargetMode="External"/><Relationship Id="rId_hyperlink_557" Type="http://schemas.openxmlformats.org/officeDocument/2006/relationships/hyperlink" Target="https://www.diodes.com/datasheet/download/D5V0X1B2LP.pdf" TargetMode="External"/><Relationship Id="rId_hyperlink_558" Type="http://schemas.openxmlformats.org/officeDocument/2006/relationships/hyperlink" Target="https://www.diodes.com/part/view/D5V0X1B2LP" TargetMode="External"/><Relationship Id="rId_hyperlink_559" Type="http://schemas.openxmlformats.org/officeDocument/2006/relationships/hyperlink" Target="https://www.diodes.com/datasheet/download/D5V0X1B2LP3.pdf" TargetMode="External"/><Relationship Id="rId_hyperlink_560" Type="http://schemas.openxmlformats.org/officeDocument/2006/relationships/hyperlink" Target="https://www.diodes.com/part/view/D5V0X1B2LP3" TargetMode="External"/><Relationship Id="rId_hyperlink_561" Type="http://schemas.openxmlformats.org/officeDocument/2006/relationships/hyperlink" Target="https://www.diodes.com/datasheet/download/D5V0X1B2LP3Q.pdf" TargetMode="External"/><Relationship Id="rId_hyperlink_562" Type="http://schemas.openxmlformats.org/officeDocument/2006/relationships/hyperlink" Target="https://www.diodes.com/part/view/D5V0X1B2LP3Q" TargetMode="External"/><Relationship Id="rId_hyperlink_563" Type="http://schemas.openxmlformats.org/officeDocument/2006/relationships/hyperlink" Target="https://www.diodes.com/datasheet/download/D5V0X1B2LPQ.pdf" TargetMode="External"/><Relationship Id="rId_hyperlink_564" Type="http://schemas.openxmlformats.org/officeDocument/2006/relationships/hyperlink" Target="https://www.diodes.com/part/view/D5V0X1B2LPQ" TargetMode="External"/><Relationship Id="rId_hyperlink_565" Type="http://schemas.openxmlformats.org/officeDocument/2006/relationships/hyperlink" Target="https://www.diodes.com/datasheet/download/D5V0X1BA2LP.pdf" TargetMode="External"/><Relationship Id="rId_hyperlink_566" Type="http://schemas.openxmlformats.org/officeDocument/2006/relationships/hyperlink" Target="https://www.diodes.com/part/view/D5V0X1BA2LP" TargetMode="External"/><Relationship Id="rId_hyperlink_567" Type="http://schemas.openxmlformats.org/officeDocument/2006/relationships/hyperlink" Target="https://www.diodes.com/datasheet/download/DS43178.pdf" TargetMode="External"/><Relationship Id="rId_hyperlink_568" Type="http://schemas.openxmlformats.org/officeDocument/2006/relationships/hyperlink" Target="https://www.diodes.com/part/view/D5V0X1BA2LP4Q" TargetMode="External"/><Relationship Id="rId_hyperlink_569" Type="http://schemas.openxmlformats.org/officeDocument/2006/relationships/hyperlink" Target="https://www.diodes.com/datasheet/download/D5V0X1BA2LPQ+.pdf" TargetMode="External"/><Relationship Id="rId_hyperlink_570" Type="http://schemas.openxmlformats.org/officeDocument/2006/relationships/hyperlink" Target="https://www.diodes.com/part/view/D5V0X1BA2LPQ" TargetMode="External"/><Relationship Id="rId_hyperlink_571" Type="http://schemas.openxmlformats.org/officeDocument/2006/relationships/hyperlink" Target="https://www.diodes.com/datasheet/download/D5V0X1BD2LPSQ.pdf" TargetMode="External"/><Relationship Id="rId_hyperlink_572" Type="http://schemas.openxmlformats.org/officeDocument/2006/relationships/hyperlink" Target="https://www.diodes.com/part/view/D5V0X1BD2LPSQ" TargetMode="External"/><Relationship Id="rId_hyperlink_573" Type="http://schemas.openxmlformats.org/officeDocument/2006/relationships/hyperlink" Target="https://www.diodes.com/datasheet/download/D5V0X4U10LP.pdf" TargetMode="External"/><Relationship Id="rId_hyperlink_574" Type="http://schemas.openxmlformats.org/officeDocument/2006/relationships/hyperlink" Target="https://www.diodes.com/part/view/D5V0X4U10LP" TargetMode="External"/><Relationship Id="rId_hyperlink_575" Type="http://schemas.openxmlformats.org/officeDocument/2006/relationships/hyperlink" Target="https://www.diodes.com/datasheet/download/D5V0X4U10LPQ.pdf" TargetMode="External"/><Relationship Id="rId_hyperlink_576" Type="http://schemas.openxmlformats.org/officeDocument/2006/relationships/hyperlink" Target="https://www.diodes.com/part/view/D5V0X4U10LPQ" TargetMode="External"/><Relationship Id="rId_hyperlink_577" Type="http://schemas.openxmlformats.org/officeDocument/2006/relationships/hyperlink" Target="https://www.diodes.com/datasheet/download/D5V0Z1B2LP.pdf" TargetMode="External"/><Relationship Id="rId_hyperlink_578" Type="http://schemas.openxmlformats.org/officeDocument/2006/relationships/hyperlink" Target="https://www.diodes.com/part/view/D5V0Z1B2LP" TargetMode="External"/><Relationship Id="rId_hyperlink_579" Type="http://schemas.openxmlformats.org/officeDocument/2006/relationships/hyperlink" Target="https://www.diodes.com/datasheet/download/D5V0Z1B2LP3.pdf" TargetMode="External"/><Relationship Id="rId_hyperlink_580" Type="http://schemas.openxmlformats.org/officeDocument/2006/relationships/hyperlink" Target="https://www.diodes.com/part/view/D5V0Z1B2LP3" TargetMode="External"/><Relationship Id="rId_hyperlink_581" Type="http://schemas.openxmlformats.org/officeDocument/2006/relationships/hyperlink" Target="https://www.diodes.com/datasheet/download/D5V0Z1B2LPQ.pdf" TargetMode="External"/><Relationship Id="rId_hyperlink_582" Type="http://schemas.openxmlformats.org/officeDocument/2006/relationships/hyperlink" Target="https://www.diodes.com/part/view/D5V0Z1B2LPQ" TargetMode="External"/><Relationship Id="rId_hyperlink_583" Type="http://schemas.openxmlformats.org/officeDocument/2006/relationships/hyperlink" Target="https://www.diodes.com/datasheet/download/D5V0Z1B2LPSQ.pdf" TargetMode="External"/><Relationship Id="rId_hyperlink_584" Type="http://schemas.openxmlformats.org/officeDocument/2006/relationships/hyperlink" Target="https://www.diodes.com/part/view/D5V0Z1B2LPSQ" TargetMode="External"/><Relationship Id="rId_hyperlink_585" Type="http://schemas.openxmlformats.org/officeDocument/2006/relationships/hyperlink" Target="https://www.diodes.com/datasheet/download/D60V0L4B10LP.pdf" TargetMode="External"/><Relationship Id="rId_hyperlink_586" Type="http://schemas.openxmlformats.org/officeDocument/2006/relationships/hyperlink" Target="https://www.diodes.com/part/view/D60V0L4B10LP" TargetMode="External"/><Relationship Id="rId_hyperlink_587" Type="http://schemas.openxmlformats.org/officeDocument/2006/relationships/hyperlink" Target="https://www.diodes.com/datasheet/download/D6V3E1U2LP.pdf" TargetMode="External"/><Relationship Id="rId_hyperlink_588" Type="http://schemas.openxmlformats.org/officeDocument/2006/relationships/hyperlink" Target="https://www.diodes.com/part/view/D6V3E1U2LP" TargetMode="External"/><Relationship Id="rId_hyperlink_589" Type="http://schemas.openxmlformats.org/officeDocument/2006/relationships/hyperlink" Target="https://www.diodes.com/datasheet/download/D6V3H1U2LP.pdf" TargetMode="External"/><Relationship Id="rId_hyperlink_590" Type="http://schemas.openxmlformats.org/officeDocument/2006/relationships/hyperlink" Target="https://www.diodes.com/part/view/D6V3H1U2LP" TargetMode="External"/><Relationship Id="rId_hyperlink_591" Type="http://schemas.openxmlformats.org/officeDocument/2006/relationships/hyperlink" Target="https://www.diodes.com/datasheet/download/D6V3H1U2LP16.pdf" TargetMode="External"/><Relationship Id="rId_hyperlink_592" Type="http://schemas.openxmlformats.org/officeDocument/2006/relationships/hyperlink" Target="https://www.diodes.com/part/view/D6V3H1U2LP16" TargetMode="External"/><Relationship Id="rId_hyperlink_593" Type="http://schemas.openxmlformats.org/officeDocument/2006/relationships/hyperlink" Target="https://www.diodes.com/datasheet/download/D6V3H1U2LP1610Q.pdf" TargetMode="External"/><Relationship Id="rId_hyperlink_594" Type="http://schemas.openxmlformats.org/officeDocument/2006/relationships/hyperlink" Target="https://www.diodes.com/part/view/D6V3H1U2LP1610Q" TargetMode="External"/><Relationship Id="rId_hyperlink_595" Type="http://schemas.openxmlformats.org/officeDocument/2006/relationships/hyperlink" Target="https://www.diodes.com/datasheet/download/D6V3H1U2LP4.pdf" TargetMode="External"/><Relationship Id="rId_hyperlink_596" Type="http://schemas.openxmlformats.org/officeDocument/2006/relationships/hyperlink" Target="https://www.diodes.com/part/view/D6V3H1U2LP4" TargetMode="External"/><Relationship Id="rId_hyperlink_597" Type="http://schemas.openxmlformats.org/officeDocument/2006/relationships/hyperlink" Target="https://www.diodes.com/datasheet/download/D6V3H1U2LPQ.pdf" TargetMode="External"/><Relationship Id="rId_hyperlink_598" Type="http://schemas.openxmlformats.org/officeDocument/2006/relationships/hyperlink" Target="https://www.diodes.com/part/view/D6V3H1U2LPQ" TargetMode="External"/><Relationship Id="rId_hyperlink_599" Type="http://schemas.openxmlformats.org/officeDocument/2006/relationships/hyperlink" Target="https://www.diodes.com/datasheet/download/D6V3H1US2LP4.pdf" TargetMode="External"/><Relationship Id="rId_hyperlink_600" Type="http://schemas.openxmlformats.org/officeDocument/2006/relationships/hyperlink" Target="https://www.diodes.com/part/view/D6V3H1US2LP4" TargetMode="External"/><Relationship Id="rId_hyperlink_601" Type="http://schemas.openxmlformats.org/officeDocument/2006/relationships/hyperlink" Target="https://www.diodes.com/datasheet/download/D6V3M1U2LP3.pdf" TargetMode="External"/><Relationship Id="rId_hyperlink_602" Type="http://schemas.openxmlformats.org/officeDocument/2006/relationships/hyperlink" Target="https://www.diodes.com/part/view/D6V3M1U2LP3" TargetMode="External"/><Relationship Id="rId_hyperlink_603" Type="http://schemas.openxmlformats.org/officeDocument/2006/relationships/hyperlink" Target="https://www.diodes.com/datasheet/download/D6V3S1U2LP.pdf" TargetMode="External"/><Relationship Id="rId_hyperlink_604" Type="http://schemas.openxmlformats.org/officeDocument/2006/relationships/hyperlink" Target="https://www.diodes.com/part/view/D6V3S1U2LP" TargetMode="External"/><Relationship Id="rId_hyperlink_605" Type="http://schemas.openxmlformats.org/officeDocument/2006/relationships/hyperlink" Target="https://www.diodes.com/datasheet/download/D7V0H1U2LP.pdf" TargetMode="External"/><Relationship Id="rId_hyperlink_606" Type="http://schemas.openxmlformats.org/officeDocument/2006/relationships/hyperlink" Target="https://www.diodes.com/part/view/D7V0H1U2LP" TargetMode="External"/><Relationship Id="rId_hyperlink_607" Type="http://schemas.openxmlformats.org/officeDocument/2006/relationships/hyperlink" Target="https://www.diodes.com/datasheet/download/D7V0H1U2LPQ.pdf" TargetMode="External"/><Relationship Id="rId_hyperlink_608" Type="http://schemas.openxmlformats.org/officeDocument/2006/relationships/hyperlink" Target="https://www.diodes.com/part/view/D7V0H1U2LPQ" TargetMode="External"/><Relationship Id="rId_hyperlink_609" Type="http://schemas.openxmlformats.org/officeDocument/2006/relationships/hyperlink" Target="https://www.diodes.com/datasheet/download/D7V0M1U2LP3.pdf" TargetMode="External"/><Relationship Id="rId_hyperlink_610" Type="http://schemas.openxmlformats.org/officeDocument/2006/relationships/hyperlink" Target="https://www.diodes.com/part/view/D7V0M1U2LP3" TargetMode="External"/><Relationship Id="rId_hyperlink_611" Type="http://schemas.openxmlformats.org/officeDocument/2006/relationships/hyperlink" Target="https://www.diodes.com/datasheet/download/D7V0M1U2S9.pdf" TargetMode="External"/><Relationship Id="rId_hyperlink_612" Type="http://schemas.openxmlformats.org/officeDocument/2006/relationships/hyperlink" Target="https://www.diodes.com/part/view/D7V0M1U2S9" TargetMode="External"/><Relationship Id="rId_hyperlink_613" Type="http://schemas.openxmlformats.org/officeDocument/2006/relationships/hyperlink" Target="https://www.diodes.com/datasheet/download/D7V0M1U2S9Q.pdf" TargetMode="External"/><Relationship Id="rId_hyperlink_614" Type="http://schemas.openxmlformats.org/officeDocument/2006/relationships/hyperlink" Target="https://www.diodes.com/part/view/D7V0M1U2S9Q" TargetMode="External"/><Relationship Id="rId_hyperlink_615" Type="http://schemas.openxmlformats.org/officeDocument/2006/relationships/hyperlink" Target="https://www.diodes.com/datasheet/download/D7V0S1U2WS.pdf" TargetMode="External"/><Relationship Id="rId_hyperlink_616" Type="http://schemas.openxmlformats.org/officeDocument/2006/relationships/hyperlink" Target="https://www.diodes.com/part/view/D7V0S1U2WS" TargetMode="External"/><Relationship Id="rId_hyperlink_617" Type="http://schemas.openxmlformats.org/officeDocument/2006/relationships/hyperlink" Target="https://www.diodes.com/datasheet/download/D7V0X1B2LP3.pdf" TargetMode="External"/><Relationship Id="rId_hyperlink_618" Type="http://schemas.openxmlformats.org/officeDocument/2006/relationships/hyperlink" Target="https://www.diodes.com/part/view/D7V0X1B2LP3" TargetMode="External"/><Relationship Id="rId_hyperlink_619" Type="http://schemas.openxmlformats.org/officeDocument/2006/relationships/hyperlink" Target="https://www.diodes.com/datasheet/download/D7V5S1U3LP20-D48V0S1U3LP20.pdf" TargetMode="External"/><Relationship Id="rId_hyperlink_620" Type="http://schemas.openxmlformats.org/officeDocument/2006/relationships/hyperlink" Target="https://www.diodes.com/part/view/D7V5S1U3LP20" TargetMode="External"/><Relationship Id="rId_hyperlink_621" Type="http://schemas.openxmlformats.org/officeDocument/2006/relationships/hyperlink" Target="https://www.diodes.com/datasheet/download/D7V9H1U2LP1610.pdf" TargetMode="External"/><Relationship Id="rId_hyperlink_622" Type="http://schemas.openxmlformats.org/officeDocument/2006/relationships/hyperlink" Target="https://www.diodes.com/part/view/D7V9H1U2LP1610" TargetMode="External"/><Relationship Id="rId_hyperlink_623" Type="http://schemas.openxmlformats.org/officeDocument/2006/relationships/hyperlink" Target="https://www.diodes.com/datasheet/download/D7V9H1U2LP1610Q.pdf" TargetMode="External"/><Relationship Id="rId_hyperlink_624" Type="http://schemas.openxmlformats.org/officeDocument/2006/relationships/hyperlink" Target="https://www.diodes.com/part/view/D7V9H1U2LP1610Q" TargetMode="External"/><Relationship Id="rId_hyperlink_625" Type="http://schemas.openxmlformats.org/officeDocument/2006/relationships/hyperlink" Target="https://www.diodes.com/datasheet/download/D7V9S1U2LP.pdf" TargetMode="External"/><Relationship Id="rId_hyperlink_626" Type="http://schemas.openxmlformats.org/officeDocument/2006/relationships/hyperlink" Target="https://www.diodes.com/part/view/D7V9S1U2LP" TargetMode="External"/><Relationship Id="rId_hyperlink_627" Type="http://schemas.openxmlformats.org/officeDocument/2006/relationships/hyperlink" Target="https://www.diodes.com/datasheet/download/D8V0H1B2LP.pdf" TargetMode="External"/><Relationship Id="rId_hyperlink_628" Type="http://schemas.openxmlformats.org/officeDocument/2006/relationships/hyperlink" Target="https://www.diodes.com/part/view/D8V0H1B2LP" TargetMode="External"/><Relationship Id="rId_hyperlink_629" Type="http://schemas.openxmlformats.org/officeDocument/2006/relationships/hyperlink" Target="https://www.diodes.com/datasheet/download/D8V0H1B2LPQ.pdf" TargetMode="External"/><Relationship Id="rId_hyperlink_630" Type="http://schemas.openxmlformats.org/officeDocument/2006/relationships/hyperlink" Target="https://www.diodes.com/part/view/D8V0H1B2LPQ" TargetMode="External"/><Relationship Id="rId_hyperlink_631" Type="http://schemas.openxmlformats.org/officeDocument/2006/relationships/hyperlink" Target="https://www.diodes.com/datasheet/download/D8V0H1U2LP1610.pdf" TargetMode="External"/><Relationship Id="rId_hyperlink_632" Type="http://schemas.openxmlformats.org/officeDocument/2006/relationships/hyperlink" Target="https://www.diodes.com/part/view/D8V0H1U2LP1610" TargetMode="External"/><Relationship Id="rId_hyperlink_633" Type="http://schemas.openxmlformats.org/officeDocument/2006/relationships/hyperlink" Target="https://www.diodes.com/datasheet/download/D8V0L1B2LP.pdf" TargetMode="External"/><Relationship Id="rId_hyperlink_634" Type="http://schemas.openxmlformats.org/officeDocument/2006/relationships/hyperlink" Target="https://www.diodes.com/part/view/D8V0L1B2LP" TargetMode="External"/><Relationship Id="rId_hyperlink_635" Type="http://schemas.openxmlformats.org/officeDocument/2006/relationships/hyperlink" Target="https://www.diodes.com/datasheet/download/D8V0L1B2LP3.pdf" TargetMode="External"/><Relationship Id="rId_hyperlink_636" Type="http://schemas.openxmlformats.org/officeDocument/2006/relationships/hyperlink" Target="https://www.diodes.com/part/view/D8V0L1B2LP3" TargetMode="External"/><Relationship Id="rId_hyperlink_637" Type="http://schemas.openxmlformats.org/officeDocument/2006/relationships/hyperlink" Target="https://www.diodes.com/datasheet/download/D8V0L1B2LP3Q.pdf" TargetMode="External"/><Relationship Id="rId_hyperlink_638" Type="http://schemas.openxmlformats.org/officeDocument/2006/relationships/hyperlink" Target="https://www.diodes.com/part/view/D8V0L1B2LP3Q" TargetMode="External"/><Relationship Id="rId_hyperlink_639" Type="http://schemas.openxmlformats.org/officeDocument/2006/relationships/hyperlink" Target="https://www.diodes.com/datasheet/download/D8V0L1B2LPQ.pdf" TargetMode="External"/><Relationship Id="rId_hyperlink_640" Type="http://schemas.openxmlformats.org/officeDocument/2006/relationships/hyperlink" Target="https://www.diodes.com/part/view/D8V0L1B2LPQ" TargetMode="External"/><Relationship Id="rId_hyperlink_641" Type="http://schemas.openxmlformats.org/officeDocument/2006/relationships/hyperlink" Target="https://www.diodes.com/datasheet/download/D8V0X1B2LP.pdf" TargetMode="External"/><Relationship Id="rId_hyperlink_642" Type="http://schemas.openxmlformats.org/officeDocument/2006/relationships/hyperlink" Target="https://www.diodes.com/part/view/D8V0X1B2LP" TargetMode="External"/><Relationship Id="rId_hyperlink_643" Type="http://schemas.openxmlformats.org/officeDocument/2006/relationships/hyperlink" Target="https://www.diodes.com/datasheet/download/DS43178.pdf" TargetMode="External"/><Relationship Id="rId_hyperlink_644" Type="http://schemas.openxmlformats.org/officeDocument/2006/relationships/hyperlink" Target="https://www.diodes.com/part/view/D8V0X1B2LP4Q" TargetMode="External"/><Relationship Id="rId_hyperlink_645" Type="http://schemas.openxmlformats.org/officeDocument/2006/relationships/hyperlink" Target="https://www.diodes.com/datasheet/download/D8V0X1B2LPQ.pdf" TargetMode="External"/><Relationship Id="rId_hyperlink_646" Type="http://schemas.openxmlformats.org/officeDocument/2006/relationships/hyperlink" Target="https://www.diodes.com/part/view/D8V0X1B2LPQ" TargetMode="External"/><Relationship Id="rId_hyperlink_647" Type="http://schemas.openxmlformats.org/officeDocument/2006/relationships/hyperlink" Target="https://www.diodes.com/datasheet/download/DBLC03CI.pdf" TargetMode="External"/><Relationship Id="rId_hyperlink_648" Type="http://schemas.openxmlformats.org/officeDocument/2006/relationships/hyperlink" Target="https://www.diodes.com/part/view/DBLC03CI" TargetMode="External"/><Relationship Id="rId_hyperlink_649" Type="http://schemas.openxmlformats.org/officeDocument/2006/relationships/hyperlink" Target="https://www.diodes.com/datasheet/download/DBLC03CIQ.pdf" TargetMode="External"/><Relationship Id="rId_hyperlink_650" Type="http://schemas.openxmlformats.org/officeDocument/2006/relationships/hyperlink" Target="https://www.diodes.com/part/view/DBLC03CIQ" TargetMode="External"/><Relationship Id="rId_hyperlink_651" Type="http://schemas.openxmlformats.org/officeDocument/2006/relationships/hyperlink" Target="https://www.diodes.com/datasheet/download/DBLC05CI.pdf" TargetMode="External"/><Relationship Id="rId_hyperlink_652" Type="http://schemas.openxmlformats.org/officeDocument/2006/relationships/hyperlink" Target="https://www.diodes.com/part/view/DBLC05CI" TargetMode="External"/><Relationship Id="rId_hyperlink_653" Type="http://schemas.openxmlformats.org/officeDocument/2006/relationships/hyperlink" Target="https://www.diodes.com/datasheet/download/DBLC05CIQ.pdf" TargetMode="External"/><Relationship Id="rId_hyperlink_654" Type="http://schemas.openxmlformats.org/officeDocument/2006/relationships/hyperlink" Target="https://www.diodes.com/part/view/DBLC05CIQ" TargetMode="External"/><Relationship Id="rId_hyperlink_655" Type="http://schemas.openxmlformats.org/officeDocument/2006/relationships/hyperlink" Target="https://www.diodes.com/datasheet/download/DBLC05IQ.pdf" TargetMode="External"/><Relationship Id="rId_hyperlink_656" Type="http://schemas.openxmlformats.org/officeDocument/2006/relationships/hyperlink" Target="https://www.diodes.com/part/view/DBLC05IQ" TargetMode="External"/><Relationship Id="rId_hyperlink_657" Type="http://schemas.openxmlformats.org/officeDocument/2006/relationships/hyperlink" Target="https://www.diodes.com/datasheet/download/DBLC08CI.pdf" TargetMode="External"/><Relationship Id="rId_hyperlink_658" Type="http://schemas.openxmlformats.org/officeDocument/2006/relationships/hyperlink" Target="https://www.diodes.com/part/view/DBLC08CI" TargetMode="External"/><Relationship Id="rId_hyperlink_659" Type="http://schemas.openxmlformats.org/officeDocument/2006/relationships/hyperlink" Target="https://www.diodes.com/datasheet/download/DBLC08CIQ.pdf" TargetMode="External"/><Relationship Id="rId_hyperlink_660" Type="http://schemas.openxmlformats.org/officeDocument/2006/relationships/hyperlink" Target="https://www.diodes.com/part/view/DBLC08CIQ" TargetMode="External"/><Relationship Id="rId_hyperlink_661" Type="http://schemas.openxmlformats.org/officeDocument/2006/relationships/hyperlink" Target="https://www.diodes.com/datasheet/download/DBLC12CI.pdf" TargetMode="External"/><Relationship Id="rId_hyperlink_662" Type="http://schemas.openxmlformats.org/officeDocument/2006/relationships/hyperlink" Target="https://www.diodes.com/part/view/DBLC12CI" TargetMode="External"/><Relationship Id="rId_hyperlink_663" Type="http://schemas.openxmlformats.org/officeDocument/2006/relationships/hyperlink" Target="https://www.diodes.com/datasheet/download/DBLC12CIQ.pdf" TargetMode="External"/><Relationship Id="rId_hyperlink_664" Type="http://schemas.openxmlformats.org/officeDocument/2006/relationships/hyperlink" Target="https://www.diodes.com/part/view/DBLC12CIQ" TargetMode="External"/><Relationship Id="rId_hyperlink_665" Type="http://schemas.openxmlformats.org/officeDocument/2006/relationships/hyperlink" Target="https://www.diodes.com/datasheet/download/DBLC15CI.pdf" TargetMode="External"/><Relationship Id="rId_hyperlink_666" Type="http://schemas.openxmlformats.org/officeDocument/2006/relationships/hyperlink" Target="https://www.diodes.com/part/view/DBLC15CI" TargetMode="External"/><Relationship Id="rId_hyperlink_667" Type="http://schemas.openxmlformats.org/officeDocument/2006/relationships/hyperlink" Target="https://www.diodes.com/datasheet/download/DBLC15CIQ.pdf" TargetMode="External"/><Relationship Id="rId_hyperlink_668" Type="http://schemas.openxmlformats.org/officeDocument/2006/relationships/hyperlink" Target="https://www.diodes.com/part/view/DBLC15CIQ" TargetMode="External"/><Relationship Id="rId_hyperlink_669" Type="http://schemas.openxmlformats.org/officeDocument/2006/relationships/hyperlink" Target="https://www.diodes.com/datasheet/download/DBLC18CI.pdf" TargetMode="External"/><Relationship Id="rId_hyperlink_670" Type="http://schemas.openxmlformats.org/officeDocument/2006/relationships/hyperlink" Target="https://www.diodes.com/part/view/DBLC18CI" TargetMode="External"/><Relationship Id="rId_hyperlink_671" Type="http://schemas.openxmlformats.org/officeDocument/2006/relationships/hyperlink" Target="https://www.diodes.com/datasheet/download/DBLC18CIQ.pdf" TargetMode="External"/><Relationship Id="rId_hyperlink_672" Type="http://schemas.openxmlformats.org/officeDocument/2006/relationships/hyperlink" Target="https://www.diodes.com/part/view/DBLC18CIQ" TargetMode="External"/><Relationship Id="rId_hyperlink_673" Type="http://schemas.openxmlformats.org/officeDocument/2006/relationships/hyperlink" Target="https://www.diodes.com/datasheet/download/DBLC24CI.pdf" TargetMode="External"/><Relationship Id="rId_hyperlink_674" Type="http://schemas.openxmlformats.org/officeDocument/2006/relationships/hyperlink" Target="https://www.diodes.com/part/view/DBLC24CI" TargetMode="External"/><Relationship Id="rId_hyperlink_675" Type="http://schemas.openxmlformats.org/officeDocument/2006/relationships/hyperlink" Target="https://www.diodes.com/datasheet/download/DBLC24CIQ.pdf" TargetMode="External"/><Relationship Id="rId_hyperlink_676" Type="http://schemas.openxmlformats.org/officeDocument/2006/relationships/hyperlink" Target="https://www.diodes.com/part/view/DBLC24CIQ" TargetMode="External"/><Relationship Id="rId_hyperlink_677" Type="http://schemas.openxmlformats.org/officeDocument/2006/relationships/hyperlink" Target="https://www.diodes.com/datasheet/download/DESD0V8Z1BCSF.pdf" TargetMode="External"/><Relationship Id="rId_hyperlink_678" Type="http://schemas.openxmlformats.org/officeDocument/2006/relationships/hyperlink" Target="https://www.diodes.com/part/view/DESD0V8Z1BCSF" TargetMode="External"/><Relationship Id="rId_hyperlink_679" Type="http://schemas.openxmlformats.org/officeDocument/2006/relationships/hyperlink" Target="https://www.diodes.com/datasheet/download/DESD12V0S1BL.pdf" TargetMode="External"/><Relationship Id="rId_hyperlink_680" Type="http://schemas.openxmlformats.org/officeDocument/2006/relationships/hyperlink" Target="https://www.diodes.com/part/view/DESD12V0S1BL" TargetMode="External"/><Relationship Id="rId_hyperlink_681" Type="http://schemas.openxmlformats.org/officeDocument/2006/relationships/hyperlink" Target="https://www.diodes.com/datasheet/download/DESD12V0S1BLQ.pdf" TargetMode="External"/><Relationship Id="rId_hyperlink_682" Type="http://schemas.openxmlformats.org/officeDocument/2006/relationships/hyperlink" Target="https://www.diodes.com/part/view/DESD12V0S1BLQ" TargetMode="External"/><Relationship Id="rId_hyperlink_683" Type="http://schemas.openxmlformats.org/officeDocument/2006/relationships/hyperlink" Target="https://www.diodes.com/datasheet/download/DESD3V3L1BAQ+DESD24VL1BAQ.pdf" TargetMode="External"/><Relationship Id="rId_hyperlink_684" Type="http://schemas.openxmlformats.org/officeDocument/2006/relationships/hyperlink" Target="https://www.diodes.com/part/view/DESD12VL1BAQ" TargetMode="External"/><Relationship Id="rId_hyperlink_685" Type="http://schemas.openxmlformats.org/officeDocument/2006/relationships/hyperlink" Target="https://www.diodes.com/datasheet/download/DESD3V3L2BTQ+DESD24VL2BTQ.pdf" TargetMode="External"/><Relationship Id="rId_hyperlink_686" Type="http://schemas.openxmlformats.org/officeDocument/2006/relationships/hyperlink" Target="https://www.diodes.com/part/view/DESD12VL2BTQ" TargetMode="External"/><Relationship Id="rId_hyperlink_687" Type="http://schemas.openxmlformats.org/officeDocument/2006/relationships/hyperlink" Target="https://www.diodes.com/datasheet/download/DESDxxVxS2UTQ+SERIES.pdf" TargetMode="External"/><Relationship Id="rId_hyperlink_688" Type="http://schemas.openxmlformats.org/officeDocument/2006/relationships/hyperlink" Target="https://www.diodes.com/part/view/DESD12VS2UTQ" TargetMode="External"/><Relationship Id="rId_hyperlink_689" Type="http://schemas.openxmlformats.org/officeDocument/2006/relationships/hyperlink" Target="https://www.diodes.com/datasheet/download/DESD3V3L1BAQ+DESD24VL1BAQ.pdf" TargetMode="External"/><Relationship Id="rId_hyperlink_690" Type="http://schemas.openxmlformats.org/officeDocument/2006/relationships/hyperlink" Target="https://www.diodes.com/part/view/DESD15VL1BAQ" TargetMode="External"/><Relationship Id="rId_hyperlink_691" Type="http://schemas.openxmlformats.org/officeDocument/2006/relationships/hyperlink" Target="https://www.diodes.com/datasheet/download/DESD3V3L2BTQ+DESD24VL2BTQ.pdf" TargetMode="External"/><Relationship Id="rId_hyperlink_692" Type="http://schemas.openxmlformats.org/officeDocument/2006/relationships/hyperlink" Target="https://www.diodes.com/part/view/DESD15VL2BTQ" TargetMode="External"/><Relationship Id="rId_hyperlink_693" Type="http://schemas.openxmlformats.org/officeDocument/2006/relationships/hyperlink" Target="https://www.diodes.com/datasheet/download/DESDxxVxS2UTQ+SERIES.pdf" TargetMode="External"/><Relationship Id="rId_hyperlink_694" Type="http://schemas.openxmlformats.org/officeDocument/2006/relationships/hyperlink" Target="https://www.diodes.com/part/view/DESD15VS2UTQ" TargetMode="External"/><Relationship Id="rId_hyperlink_695" Type="http://schemas.openxmlformats.org/officeDocument/2006/relationships/hyperlink" Target="https://www.diodes.com/datasheet/download/DESD18VF1BL.pdf" TargetMode="External"/><Relationship Id="rId_hyperlink_696" Type="http://schemas.openxmlformats.org/officeDocument/2006/relationships/hyperlink" Target="https://www.diodes.com/part/view/DESD18VF1BL" TargetMode="External"/><Relationship Id="rId_hyperlink_697" Type="http://schemas.openxmlformats.org/officeDocument/2006/relationships/hyperlink" Target="https://www.diodes.com/datasheet/download/DESD18VF1BLP3.pdf" TargetMode="External"/><Relationship Id="rId_hyperlink_698" Type="http://schemas.openxmlformats.org/officeDocument/2006/relationships/hyperlink" Target="https://www.diodes.com/part/view/DESD18VF1BLP3" TargetMode="External"/><Relationship Id="rId_hyperlink_699" Type="http://schemas.openxmlformats.org/officeDocument/2006/relationships/hyperlink" Target="https://www.diodes.com/datasheet/download/DESD18VF1BLQ.pdf" TargetMode="External"/><Relationship Id="rId_hyperlink_700" Type="http://schemas.openxmlformats.org/officeDocument/2006/relationships/hyperlink" Target="https://www.diodes.com/part/view/DESD18VF1BLQ" TargetMode="External"/><Relationship Id="rId_hyperlink_701" Type="http://schemas.openxmlformats.org/officeDocument/2006/relationships/hyperlink" Target="https://www.diodes.com/datasheet/download/DESD18VS1BLP3.pdf" TargetMode="External"/><Relationship Id="rId_hyperlink_702" Type="http://schemas.openxmlformats.org/officeDocument/2006/relationships/hyperlink" Target="https://www.diodes.com/part/view/DESD18VS1BLP3" TargetMode="External"/><Relationship Id="rId_hyperlink_703" Type="http://schemas.openxmlformats.org/officeDocument/2006/relationships/hyperlink" Target="https://www.diodes.com/datasheet/download/DESD1CAN2SOQ.pdf" TargetMode="External"/><Relationship Id="rId_hyperlink_704" Type="http://schemas.openxmlformats.org/officeDocument/2006/relationships/hyperlink" Target="https://www.diodes.com/part/view/DESD1CAN2SOQ" TargetMode="External"/><Relationship Id="rId_hyperlink_705" Type="http://schemas.openxmlformats.org/officeDocument/2006/relationships/hyperlink" Target="https://www.diodes.com/datasheet/download/DESD1CAN2WQ.pdf" TargetMode="External"/><Relationship Id="rId_hyperlink_706" Type="http://schemas.openxmlformats.org/officeDocument/2006/relationships/hyperlink" Target="https://www.diodes.com/part/view/DESD1CAN2WQ" TargetMode="External"/><Relationship Id="rId_hyperlink_707" Type="http://schemas.openxmlformats.org/officeDocument/2006/relationships/hyperlink" Target="https://www.diodes.com/datasheet/download/DESD1CANFD24VSOQ.pdf" TargetMode="External"/><Relationship Id="rId_hyperlink_708" Type="http://schemas.openxmlformats.org/officeDocument/2006/relationships/hyperlink" Target="https://www.diodes.com/part/view/DESD1CANFD24VSOQ" TargetMode="External"/><Relationship Id="rId_hyperlink_709" Type="http://schemas.openxmlformats.org/officeDocument/2006/relationships/hyperlink" Target="https://www.diodes.com/datasheet/download/DESD1CANFD24VWQ.pdf" TargetMode="External"/><Relationship Id="rId_hyperlink_710" Type="http://schemas.openxmlformats.org/officeDocument/2006/relationships/hyperlink" Target="https://www.diodes.com/part/view/DESD1CANFD24VWQ" TargetMode="External"/><Relationship Id="rId_hyperlink_711" Type="http://schemas.openxmlformats.org/officeDocument/2006/relationships/hyperlink" Target="https://www.diodes.com/datasheet/download/DESD1ETH1GLPSQ.pdf" TargetMode="External"/><Relationship Id="rId_hyperlink_712" Type="http://schemas.openxmlformats.org/officeDocument/2006/relationships/hyperlink" Target="https://www.diodes.com/part/view/DESD1ETH1GLPSQ" TargetMode="External"/><Relationship Id="rId_hyperlink_713" Type="http://schemas.openxmlformats.org/officeDocument/2006/relationships/hyperlink" Target="https://www.diodes.com/datasheet/download/DESD1ETH1GXLPSQ.pdf" TargetMode="External"/><Relationship Id="rId_hyperlink_714" Type="http://schemas.openxmlformats.org/officeDocument/2006/relationships/hyperlink" Target="https://www.diodes.com/part/view/DESD1ETH1GXLPSQ" TargetMode="External"/><Relationship Id="rId_hyperlink_715" Type="http://schemas.openxmlformats.org/officeDocument/2006/relationships/hyperlink" Target="https://www.diodes.com/datasheet/download/DESD1FLEX2SOQ.pdf" TargetMode="External"/><Relationship Id="rId_hyperlink_716" Type="http://schemas.openxmlformats.org/officeDocument/2006/relationships/hyperlink" Target="https://www.diodes.com/part/view/DESD1FLEX2SOQ" TargetMode="External"/><Relationship Id="rId_hyperlink_717" Type="http://schemas.openxmlformats.org/officeDocument/2006/relationships/hyperlink" Target="https://www.diodes.com/datasheet/download/DESD1IVN27V2WSQ.pdf" TargetMode="External"/><Relationship Id="rId_hyperlink_718" Type="http://schemas.openxmlformats.org/officeDocument/2006/relationships/hyperlink" Target="https://www.diodes.com/part/view/DESD1IVN27V2WSQ" TargetMode="External"/><Relationship Id="rId_hyperlink_719" Type="http://schemas.openxmlformats.org/officeDocument/2006/relationships/hyperlink" Target="https://www.diodes.com/datasheet/download/DESD1LIN2WSQ.pdf" TargetMode="External"/><Relationship Id="rId_hyperlink_720" Type="http://schemas.openxmlformats.org/officeDocument/2006/relationships/hyperlink" Target="https://www.diodes.com/part/view/DESD1LIN2WSQ" TargetMode="External"/><Relationship Id="rId_hyperlink_721" Type="http://schemas.openxmlformats.org/officeDocument/2006/relationships/hyperlink" Target="https://www.diodes.com/datasheet/download/DESD1P0RFWA.pdf" TargetMode="External"/><Relationship Id="rId_hyperlink_722" Type="http://schemas.openxmlformats.org/officeDocument/2006/relationships/hyperlink" Target="https://www.diodes.com/part/view/DESD1P0RFWA" TargetMode="External"/><Relationship Id="rId_hyperlink_723" Type="http://schemas.openxmlformats.org/officeDocument/2006/relationships/hyperlink" Target="https://www.diodes.com/datasheet/download/DESD1V0ZS1BLP3.pdf" TargetMode="External"/><Relationship Id="rId_hyperlink_724" Type="http://schemas.openxmlformats.org/officeDocument/2006/relationships/hyperlink" Target="https://www.diodes.com/part/view/DESD1V0ZS1BLP3" TargetMode="External"/><Relationship Id="rId_hyperlink_725" Type="http://schemas.openxmlformats.org/officeDocument/2006/relationships/hyperlink" Target="https://www.diodes.com/datasheet/download/DESD1V5ZS1BLP3.pdf" TargetMode="External"/><Relationship Id="rId_hyperlink_726" Type="http://schemas.openxmlformats.org/officeDocument/2006/relationships/hyperlink" Target="https://www.diodes.com/part/view/DESD1V5ZS1BLP3" TargetMode="External"/><Relationship Id="rId_hyperlink_727" Type="http://schemas.openxmlformats.org/officeDocument/2006/relationships/hyperlink" Target="https://www.diodes.com/datasheet/download/DESD24VF1BL.pdf" TargetMode="External"/><Relationship Id="rId_hyperlink_728" Type="http://schemas.openxmlformats.org/officeDocument/2006/relationships/hyperlink" Target="https://www.diodes.com/part/view/DESD24VF1BL" TargetMode="External"/><Relationship Id="rId_hyperlink_729" Type="http://schemas.openxmlformats.org/officeDocument/2006/relationships/hyperlink" Target="https://www.diodes.com/datasheet/download/DESD24VF1BLP3.pdf" TargetMode="External"/><Relationship Id="rId_hyperlink_730" Type="http://schemas.openxmlformats.org/officeDocument/2006/relationships/hyperlink" Target="https://www.diodes.com/part/view/DESD24VF1BLP3" TargetMode="External"/><Relationship Id="rId_hyperlink_731" Type="http://schemas.openxmlformats.org/officeDocument/2006/relationships/hyperlink" Target="https://www.diodes.com/datasheet/download/DESD24VF1BLQ.pdf" TargetMode="External"/><Relationship Id="rId_hyperlink_732" Type="http://schemas.openxmlformats.org/officeDocument/2006/relationships/hyperlink" Target="https://www.diodes.com/part/view/DESD24VF1BLQ" TargetMode="External"/><Relationship Id="rId_hyperlink_733" Type="http://schemas.openxmlformats.org/officeDocument/2006/relationships/hyperlink" Target="https://www.diodes.com/datasheet/download/DESD3V3L1BAQ+DESD24VL1BAQ.pdf" TargetMode="External"/><Relationship Id="rId_hyperlink_734" Type="http://schemas.openxmlformats.org/officeDocument/2006/relationships/hyperlink" Target="https://www.diodes.com/part/view/DESD24VL1BAQ" TargetMode="External"/><Relationship Id="rId_hyperlink_735" Type="http://schemas.openxmlformats.org/officeDocument/2006/relationships/hyperlink" Target="https://www.diodes.com/datasheet/download/DESD3V3L2BTQ+DESD24VL2BTQ.pdf" TargetMode="External"/><Relationship Id="rId_hyperlink_736" Type="http://schemas.openxmlformats.org/officeDocument/2006/relationships/hyperlink" Target="https://www.diodes.com/part/view/DESD24VL2BTQ" TargetMode="External"/><Relationship Id="rId_hyperlink_737" Type="http://schemas.openxmlformats.org/officeDocument/2006/relationships/hyperlink" Target="https://www.diodes.com/datasheet/download/DESD24VS2SO.pdf" TargetMode="External"/><Relationship Id="rId_hyperlink_738" Type="http://schemas.openxmlformats.org/officeDocument/2006/relationships/hyperlink" Target="https://www.diodes.com/part/view/DESD24VS2SO" TargetMode="External"/><Relationship Id="rId_hyperlink_739" Type="http://schemas.openxmlformats.org/officeDocument/2006/relationships/hyperlink" Target="https://www.diodes.com/datasheet/download/DESD24VS2SOQ.pdf" TargetMode="External"/><Relationship Id="rId_hyperlink_740" Type="http://schemas.openxmlformats.org/officeDocument/2006/relationships/hyperlink" Target="https://www.diodes.com/part/view/DESD24VS2SOQ" TargetMode="External"/><Relationship Id="rId_hyperlink_741" Type="http://schemas.openxmlformats.org/officeDocument/2006/relationships/hyperlink" Target="https://www.diodes.com/datasheet/download/DESDxxVxS2UTQ+SERIES.pdf" TargetMode="External"/><Relationship Id="rId_hyperlink_742" Type="http://schemas.openxmlformats.org/officeDocument/2006/relationships/hyperlink" Target="https://www.diodes.com/part/view/DESD24VS2UTQ" TargetMode="External"/><Relationship Id="rId_hyperlink_743" Type="http://schemas.openxmlformats.org/officeDocument/2006/relationships/hyperlink" Target="https://www.diodes.com/datasheet/download/DESD24VS5U6SOQ.pdf" TargetMode="External"/><Relationship Id="rId_hyperlink_744" Type="http://schemas.openxmlformats.org/officeDocument/2006/relationships/hyperlink" Target="https://www.diodes.com/part/view/DESD24VS5U6SOQ" TargetMode="External"/><Relationship Id="rId_hyperlink_745" Type="http://schemas.openxmlformats.org/officeDocument/2006/relationships/hyperlink" Target="https://www.diodes.com/datasheet/download/DESD2CAN2SOQ.pdf" TargetMode="External"/><Relationship Id="rId_hyperlink_746" Type="http://schemas.openxmlformats.org/officeDocument/2006/relationships/hyperlink" Target="https://www.diodes.com/part/view/DESD2CAN2SOQ" TargetMode="External"/><Relationship Id="rId_hyperlink_747" Type="http://schemas.openxmlformats.org/officeDocument/2006/relationships/hyperlink" Target="https://www.diodes.com/datasheet/download/DESD2ETH100SOQ.pdf" TargetMode="External"/><Relationship Id="rId_hyperlink_748" Type="http://schemas.openxmlformats.org/officeDocument/2006/relationships/hyperlink" Target="https://www.diodes.com/part/view/DESD2ETH100SOQ" TargetMode="External"/><Relationship Id="rId_hyperlink_749" Type="http://schemas.openxmlformats.org/officeDocument/2006/relationships/hyperlink" Target="https://www.diodes.com/datasheet/download/DESD2ETH1GSOQ.pdf" TargetMode="External"/><Relationship Id="rId_hyperlink_750" Type="http://schemas.openxmlformats.org/officeDocument/2006/relationships/hyperlink" Target="https://www.diodes.com/part/view/DESD2ETH1GSOQ" TargetMode="External"/><Relationship Id="rId_hyperlink_751" Type="http://schemas.openxmlformats.org/officeDocument/2006/relationships/hyperlink" Target="https://www.diodes.com/datasheet/download/DESD2ETH1GXSOQ.pdf" TargetMode="External"/><Relationship Id="rId_hyperlink_752" Type="http://schemas.openxmlformats.org/officeDocument/2006/relationships/hyperlink" Target="https://www.diodes.com/part/view/DESD2ETH1GXSOQ" TargetMode="External"/><Relationship Id="rId_hyperlink_753" Type="http://schemas.openxmlformats.org/officeDocument/2006/relationships/hyperlink" Target="https://www.diodes.com/datasheet/download/DESD2FLEX2SOQ.pdf" TargetMode="External"/><Relationship Id="rId_hyperlink_754" Type="http://schemas.openxmlformats.org/officeDocument/2006/relationships/hyperlink" Target="https://www.diodes.com/part/view/DESD2FLEX2SOQ" TargetMode="External"/><Relationship Id="rId_hyperlink_755" Type="http://schemas.openxmlformats.org/officeDocument/2006/relationships/hyperlink" Target="https://www.diodes.com/datasheet/download/DESD2IVN27V3WQ.pdf" TargetMode="External"/><Relationship Id="rId_hyperlink_756" Type="http://schemas.openxmlformats.org/officeDocument/2006/relationships/hyperlink" Target="https://www.diodes.com/part/view/DESD2IVN27V3WQ" TargetMode="External"/><Relationship Id="rId_hyperlink_757" Type="http://schemas.openxmlformats.org/officeDocument/2006/relationships/hyperlink" Target="https://www.diodes.com/datasheet/download/DESD2V5Z1BCSF.pdf" TargetMode="External"/><Relationship Id="rId_hyperlink_758" Type="http://schemas.openxmlformats.org/officeDocument/2006/relationships/hyperlink" Target="https://www.diodes.com/part/view/DESD2V5Z1BCSF" TargetMode="External"/><Relationship Id="rId_hyperlink_759" Type="http://schemas.openxmlformats.org/officeDocument/2006/relationships/hyperlink" Target="https://www.diodes.com/datasheet/download/DESD30VF1BL.pdf" TargetMode="External"/><Relationship Id="rId_hyperlink_760" Type="http://schemas.openxmlformats.org/officeDocument/2006/relationships/hyperlink" Target="https://www.diodes.com/part/view/DESD30VF1BL" TargetMode="External"/><Relationship Id="rId_hyperlink_761" Type="http://schemas.openxmlformats.org/officeDocument/2006/relationships/hyperlink" Target="https://www.diodes.com/datasheet/download/DESD30VF1BLQ.pdf" TargetMode="External"/><Relationship Id="rId_hyperlink_762" Type="http://schemas.openxmlformats.org/officeDocument/2006/relationships/hyperlink" Target="https://www.diodes.com/part/view/DESD30VF1BLQ" TargetMode="External"/><Relationship Id="rId_hyperlink_763" Type="http://schemas.openxmlformats.org/officeDocument/2006/relationships/hyperlink" Target="https://www.diodes.com/datasheet/download/DESD32VS2SO.pdf" TargetMode="External"/><Relationship Id="rId_hyperlink_764" Type="http://schemas.openxmlformats.org/officeDocument/2006/relationships/hyperlink" Target="https://www.diodes.com/part/view/DESD32VS2SO" TargetMode="External"/><Relationship Id="rId_hyperlink_765" Type="http://schemas.openxmlformats.org/officeDocument/2006/relationships/hyperlink" Target="https://www.diodes.com/datasheet/download/DESD32VS2SOQ.pdf" TargetMode="External"/><Relationship Id="rId_hyperlink_766" Type="http://schemas.openxmlformats.org/officeDocument/2006/relationships/hyperlink" Target="https://www.diodes.com/part/view/DESD32VS2SOQ" TargetMode="External"/><Relationship Id="rId_hyperlink_767" Type="http://schemas.openxmlformats.org/officeDocument/2006/relationships/hyperlink" Target="https://www.diodes.com/datasheet/download/DESD34VS2SO.pdf" TargetMode="External"/><Relationship Id="rId_hyperlink_768" Type="http://schemas.openxmlformats.org/officeDocument/2006/relationships/hyperlink" Target="https://www.diodes.com/part/view/DESD34VS2SO" TargetMode="External"/><Relationship Id="rId_hyperlink_769" Type="http://schemas.openxmlformats.org/officeDocument/2006/relationships/hyperlink" Target="https://www.diodes.com/datasheet/download/DESD34VS2SOQ.pdf" TargetMode="External"/><Relationship Id="rId_hyperlink_770" Type="http://schemas.openxmlformats.org/officeDocument/2006/relationships/hyperlink" Target="https://www.diodes.com/part/view/DESD34VS2SOQ" TargetMode="External"/><Relationship Id="rId_hyperlink_771" Type="http://schemas.openxmlformats.org/officeDocument/2006/relationships/hyperlink" Target="https://www.diodes.com/datasheet/download/DESD3512SO.pdf" TargetMode="External"/><Relationship Id="rId_hyperlink_772" Type="http://schemas.openxmlformats.org/officeDocument/2006/relationships/hyperlink" Target="https://www.diodes.com/part/view/DESD3512SO" TargetMode="External"/><Relationship Id="rId_hyperlink_773" Type="http://schemas.openxmlformats.org/officeDocument/2006/relationships/hyperlink" Target="https://www.diodes.com/datasheet/download/DESD35VF1BL.pdf" TargetMode="External"/><Relationship Id="rId_hyperlink_774" Type="http://schemas.openxmlformats.org/officeDocument/2006/relationships/hyperlink" Target="https://www.diodes.com/part/view/DESD35VF1BL" TargetMode="External"/><Relationship Id="rId_hyperlink_775" Type="http://schemas.openxmlformats.org/officeDocument/2006/relationships/hyperlink" Target="https://www.diodes.com/datasheet/download/DESD35VF1BLP3.pdf" TargetMode="External"/><Relationship Id="rId_hyperlink_776" Type="http://schemas.openxmlformats.org/officeDocument/2006/relationships/hyperlink" Target="https://www.diodes.com/part/view/DESD35VF1BLP3" TargetMode="External"/><Relationship Id="rId_hyperlink_777" Type="http://schemas.openxmlformats.org/officeDocument/2006/relationships/hyperlink" Target="https://www.diodes.com/datasheet/download/DESD35VF1BLQ.pdf" TargetMode="External"/><Relationship Id="rId_hyperlink_778" Type="http://schemas.openxmlformats.org/officeDocument/2006/relationships/hyperlink" Target="https://www.diodes.com/part/view/DESD35VF1BLQ" TargetMode="External"/><Relationship Id="rId_hyperlink_779" Type="http://schemas.openxmlformats.org/officeDocument/2006/relationships/hyperlink" Target="https://www.diodes.com/datasheet/download/DESDxxVxS2UTQ+SERIES.pdf" TargetMode="External"/><Relationship Id="rId_hyperlink_780" Type="http://schemas.openxmlformats.org/officeDocument/2006/relationships/hyperlink" Target="https://www.diodes.com/part/view/DESD36VS2UTQ" TargetMode="External"/><Relationship Id="rId_hyperlink_781" Type="http://schemas.openxmlformats.org/officeDocument/2006/relationships/hyperlink" Target="https://www.diodes.com/datasheet/download/DESD3V3E1BL.pdf" TargetMode="External"/><Relationship Id="rId_hyperlink_782" Type="http://schemas.openxmlformats.org/officeDocument/2006/relationships/hyperlink" Target="https://www.diodes.com/part/view/DESD3V3E1BL" TargetMode="External"/><Relationship Id="rId_hyperlink_783" Type="http://schemas.openxmlformats.org/officeDocument/2006/relationships/hyperlink" Target="https://www.diodes.com/datasheet/download/DESD3V3L1BAQ+DESD24VL1BAQ.pdf" TargetMode="External"/><Relationship Id="rId_hyperlink_784" Type="http://schemas.openxmlformats.org/officeDocument/2006/relationships/hyperlink" Target="https://www.diodes.com/part/view/DESD3V3L1BAQ" TargetMode="External"/><Relationship Id="rId_hyperlink_785" Type="http://schemas.openxmlformats.org/officeDocument/2006/relationships/hyperlink" Target="https://www.diodes.com/datasheet/download/DESD3V3L2BTQ+DESD24VL2BTQ.pdf" TargetMode="External"/><Relationship Id="rId_hyperlink_786" Type="http://schemas.openxmlformats.org/officeDocument/2006/relationships/hyperlink" Target="https://www.diodes.com/part/view/DESD3V3L2BTQ" TargetMode="External"/><Relationship Id="rId_hyperlink_787" Type="http://schemas.openxmlformats.org/officeDocument/2006/relationships/hyperlink" Target="https://www.diodes.com/datasheet/download/DESD3V3S1BL+.pdf" TargetMode="External"/><Relationship Id="rId_hyperlink_788" Type="http://schemas.openxmlformats.org/officeDocument/2006/relationships/hyperlink" Target="https://www.diodes.com/part/view/DESD3V3S1BL" TargetMode="External"/><Relationship Id="rId_hyperlink_789" Type="http://schemas.openxmlformats.org/officeDocument/2006/relationships/hyperlink" Target="https://www.diodes.com/datasheet/download/DESD3V3S1BLP3.pdf" TargetMode="External"/><Relationship Id="rId_hyperlink_790" Type="http://schemas.openxmlformats.org/officeDocument/2006/relationships/hyperlink" Target="https://www.diodes.com/part/view/DESD3V3S1BLP3" TargetMode="External"/><Relationship Id="rId_hyperlink_791" Type="http://schemas.openxmlformats.org/officeDocument/2006/relationships/hyperlink" Target="https://www.diodes.com/datasheet/download/DESD3V3S1BLQ.pdf" TargetMode="External"/><Relationship Id="rId_hyperlink_792" Type="http://schemas.openxmlformats.org/officeDocument/2006/relationships/hyperlink" Target="https://www.diodes.com/part/view/DESD3V3S1BLQ" TargetMode="External"/><Relationship Id="rId_hyperlink_793" Type="http://schemas.openxmlformats.org/officeDocument/2006/relationships/hyperlink" Target="https://www.diodes.com/datasheet/download/DESDxxVxS2UTQ+SERIES.pdf" TargetMode="External"/><Relationship Id="rId_hyperlink_794" Type="http://schemas.openxmlformats.org/officeDocument/2006/relationships/hyperlink" Target="https://www.diodes.com/part/view/DESD3V3S2UTQ" TargetMode="External"/><Relationship Id="rId_hyperlink_795" Type="http://schemas.openxmlformats.org/officeDocument/2006/relationships/hyperlink" Target="https://www.diodes.com/datasheet/download/DESD3V3X1BCSF.pdf" TargetMode="External"/><Relationship Id="rId_hyperlink_796" Type="http://schemas.openxmlformats.org/officeDocument/2006/relationships/hyperlink" Target="https://www.diodes.com/part/view/DESD3V3X1BCSF" TargetMode="External"/><Relationship Id="rId_hyperlink_797" Type="http://schemas.openxmlformats.org/officeDocument/2006/relationships/hyperlink" Target="https://www.diodes.com/datasheet/download/DESD3V3XA1BCSF.pdf" TargetMode="External"/><Relationship Id="rId_hyperlink_798" Type="http://schemas.openxmlformats.org/officeDocument/2006/relationships/hyperlink" Target="https://www.diodes.com/part/view/DESD3V3XA1BCSF" TargetMode="External"/><Relationship Id="rId_hyperlink_799" Type="http://schemas.openxmlformats.org/officeDocument/2006/relationships/hyperlink" Target="https://www.diodes.com/datasheet/download/DESD3V3Z1BCSF.pdf" TargetMode="External"/><Relationship Id="rId_hyperlink_800" Type="http://schemas.openxmlformats.org/officeDocument/2006/relationships/hyperlink" Target="https://www.diodes.com/part/view/DESD3V3Z1BCSF" TargetMode="External"/><Relationship Id="rId_hyperlink_801" Type="http://schemas.openxmlformats.org/officeDocument/2006/relationships/hyperlink" Target="https://www.diodes.com/datasheet/download/DESD3V3Z1BCSFQ.pdf" TargetMode="External"/><Relationship Id="rId_hyperlink_802" Type="http://schemas.openxmlformats.org/officeDocument/2006/relationships/hyperlink" Target="https://www.diodes.com/part/view/DESD3V3Z1BCSFQ" TargetMode="External"/><Relationship Id="rId_hyperlink_803" Type="http://schemas.openxmlformats.org/officeDocument/2006/relationships/hyperlink" Target="https://www.diodes.com/datasheet/download/DESD3V3ZS1BLP3.pdf" TargetMode="External"/><Relationship Id="rId_hyperlink_804" Type="http://schemas.openxmlformats.org/officeDocument/2006/relationships/hyperlink" Target="https://www.diodes.com/part/view/DESD3V3ZS1BLP3" TargetMode="External"/><Relationship Id="rId_hyperlink_805" Type="http://schemas.openxmlformats.org/officeDocument/2006/relationships/hyperlink" Target="https://www.diodes.com/datasheet/download/DESD3V3L1BAQ+DESD24VL1BAQ.pdf" TargetMode="External"/><Relationship Id="rId_hyperlink_806" Type="http://schemas.openxmlformats.org/officeDocument/2006/relationships/hyperlink" Target="https://www.diodes.com/part/view/DESD5V0L1BAQ" TargetMode="External"/><Relationship Id="rId_hyperlink_807" Type="http://schemas.openxmlformats.org/officeDocument/2006/relationships/hyperlink" Target="https://www.diodes.com/datasheet/download/DESD3V3L2BTQ+DESD24VL2BTQ.pdf" TargetMode="External"/><Relationship Id="rId_hyperlink_808" Type="http://schemas.openxmlformats.org/officeDocument/2006/relationships/hyperlink" Target="https://www.diodes.com/part/view/DESD5V0L2BTQ" TargetMode="External"/><Relationship Id="rId_hyperlink_809" Type="http://schemas.openxmlformats.org/officeDocument/2006/relationships/hyperlink" Target="https://www.diodes.com/datasheet/download/DESD5V0S1BA.pdf" TargetMode="External"/><Relationship Id="rId_hyperlink_810" Type="http://schemas.openxmlformats.org/officeDocument/2006/relationships/hyperlink" Target="https://www.diodes.com/part/view/DESD5V0S1BA" TargetMode="External"/><Relationship Id="rId_hyperlink_811" Type="http://schemas.openxmlformats.org/officeDocument/2006/relationships/hyperlink" Target="https://www.diodes.com/datasheet/download/DESD5V0S1BAQ.pdf" TargetMode="External"/><Relationship Id="rId_hyperlink_812" Type="http://schemas.openxmlformats.org/officeDocument/2006/relationships/hyperlink" Target="https://www.diodes.com/part/view/DESD5V0S1BAQ" TargetMode="External"/><Relationship Id="rId_hyperlink_813" Type="http://schemas.openxmlformats.org/officeDocument/2006/relationships/hyperlink" Target="https://www.diodes.com/datasheet/download/DESD5V0S1BB.pdf" TargetMode="External"/><Relationship Id="rId_hyperlink_814" Type="http://schemas.openxmlformats.org/officeDocument/2006/relationships/hyperlink" Target="https://www.diodes.com/part/view/DESD5V0S1BB" TargetMode="External"/><Relationship Id="rId_hyperlink_815" Type="http://schemas.openxmlformats.org/officeDocument/2006/relationships/hyperlink" Target="https://www.diodes.com/datasheet/download/DESD5V0S1BL.pdf" TargetMode="External"/><Relationship Id="rId_hyperlink_816" Type="http://schemas.openxmlformats.org/officeDocument/2006/relationships/hyperlink" Target="https://www.diodes.com/part/view/DESD5V0S1BL" TargetMode="External"/><Relationship Id="rId_hyperlink_817" Type="http://schemas.openxmlformats.org/officeDocument/2006/relationships/hyperlink" Target="https://www.diodes.com/datasheet/download/DESD5V0S1BLD.pdf" TargetMode="External"/><Relationship Id="rId_hyperlink_818" Type="http://schemas.openxmlformats.org/officeDocument/2006/relationships/hyperlink" Target="https://www.diodes.com/part/view/DESD5V0S1BLD" TargetMode="External"/><Relationship Id="rId_hyperlink_819" Type="http://schemas.openxmlformats.org/officeDocument/2006/relationships/hyperlink" Target="https://www.diodes.com/datasheet/download/DESD5V0S1BLP3.pdf" TargetMode="External"/><Relationship Id="rId_hyperlink_820" Type="http://schemas.openxmlformats.org/officeDocument/2006/relationships/hyperlink" Target="https://www.diodes.com/part/view/DESD5V0S1BLP3" TargetMode="External"/><Relationship Id="rId_hyperlink_821" Type="http://schemas.openxmlformats.org/officeDocument/2006/relationships/hyperlink" Target="https://www.diodes.com/datasheet/download/DESD5V0U1BA.pdf" TargetMode="External"/><Relationship Id="rId_hyperlink_822" Type="http://schemas.openxmlformats.org/officeDocument/2006/relationships/hyperlink" Target="https://www.diodes.com/part/view/DESD5V0U1BA" TargetMode="External"/><Relationship Id="rId_hyperlink_823" Type="http://schemas.openxmlformats.org/officeDocument/2006/relationships/hyperlink" Target="https://www.diodes.com/datasheet/download/DESD5V0U1BB.pdf" TargetMode="External"/><Relationship Id="rId_hyperlink_824" Type="http://schemas.openxmlformats.org/officeDocument/2006/relationships/hyperlink" Target="https://www.diodes.com/part/view/DESD5V0U1BB" TargetMode="External"/><Relationship Id="rId_hyperlink_825" Type="http://schemas.openxmlformats.org/officeDocument/2006/relationships/hyperlink" Target="https://www.diodes.com/datasheet/download/DESD5V0U1BL.pdf" TargetMode="External"/><Relationship Id="rId_hyperlink_826" Type="http://schemas.openxmlformats.org/officeDocument/2006/relationships/hyperlink" Target="https://www.diodes.com/part/view/DESD5V0U1BL" TargetMode="External"/><Relationship Id="rId_hyperlink_827" Type="http://schemas.openxmlformats.org/officeDocument/2006/relationships/hyperlink" Target="https://www.diodes.com/datasheet/download/DESD5V0U1BLQ.pdf" TargetMode="External"/><Relationship Id="rId_hyperlink_828" Type="http://schemas.openxmlformats.org/officeDocument/2006/relationships/hyperlink" Target="https://www.diodes.com/part/view/DESD5V0U1BLQ" TargetMode="External"/><Relationship Id="rId_hyperlink_829" Type="http://schemas.openxmlformats.org/officeDocument/2006/relationships/hyperlink" Target="https://www.diodes.com/datasheet/download/DESD5V0X1BCSF.pdf" TargetMode="External"/><Relationship Id="rId_hyperlink_830" Type="http://schemas.openxmlformats.org/officeDocument/2006/relationships/hyperlink" Target="https://www.diodes.com/part/view/DESD5V0X1BCSF" TargetMode="External"/><Relationship Id="rId_hyperlink_831" Type="http://schemas.openxmlformats.org/officeDocument/2006/relationships/hyperlink" Target="https://www.diodes.com/datasheet/download/DESD5V0XA1BCSF.pdf" TargetMode="External"/><Relationship Id="rId_hyperlink_832" Type="http://schemas.openxmlformats.org/officeDocument/2006/relationships/hyperlink" Target="https://www.diodes.com/part/view/DESD5V0XA1BCSF" TargetMode="External"/><Relationship Id="rId_hyperlink_833" Type="http://schemas.openxmlformats.org/officeDocument/2006/relationships/hyperlink" Target="https://www.diodes.com/datasheet/download/DESD5V2S2UT.pdf" TargetMode="External"/><Relationship Id="rId_hyperlink_834" Type="http://schemas.openxmlformats.org/officeDocument/2006/relationships/hyperlink" Target="https://www.diodes.com/part/view/DESD5V2S2UT" TargetMode="External"/><Relationship Id="rId_hyperlink_835" Type="http://schemas.openxmlformats.org/officeDocument/2006/relationships/hyperlink" Target="https://www.diodes.com/datasheet/download/DESDxxVxS2UTQ+SERIES.pdf" TargetMode="External"/><Relationship Id="rId_hyperlink_836" Type="http://schemas.openxmlformats.org/officeDocument/2006/relationships/hyperlink" Target="https://www.diodes.com/part/view/DESD5V2S2UTQ" TargetMode="External"/><Relationship Id="rId_hyperlink_837" Type="http://schemas.openxmlformats.org/officeDocument/2006/relationships/hyperlink" Target="https://www.diodes.com/datasheet/download/DESD6V8DLPA.pdf" TargetMode="External"/><Relationship Id="rId_hyperlink_838" Type="http://schemas.openxmlformats.org/officeDocument/2006/relationships/hyperlink" Target="https://www.diodes.com/part/view/DESD6V8DLPA" TargetMode="External"/><Relationship Id="rId_hyperlink_839" Type="http://schemas.openxmlformats.org/officeDocument/2006/relationships/hyperlink" Target="https://www.diodes.com/datasheet/download/DESDA5V3L.pdf" TargetMode="External"/><Relationship Id="rId_hyperlink_840" Type="http://schemas.openxmlformats.org/officeDocument/2006/relationships/hyperlink" Target="https://www.diodes.com/part/view/DESDA5V3L" TargetMode="External"/><Relationship Id="rId_hyperlink_841" Type="http://schemas.openxmlformats.org/officeDocument/2006/relationships/hyperlink" Target="https://www.diodes.com/datasheet/download/DESDA5V3LQ.pdf" TargetMode="External"/><Relationship Id="rId_hyperlink_842" Type="http://schemas.openxmlformats.org/officeDocument/2006/relationships/hyperlink" Target="https://www.diodes.com/part/view/DESDA5V3LQ" TargetMode="External"/><Relationship Id="rId_hyperlink_843" Type="http://schemas.openxmlformats.org/officeDocument/2006/relationships/hyperlink" Target="https://www.diodes.com/datasheet/download/DESDALC5ALP.pdf" TargetMode="External"/><Relationship Id="rId_hyperlink_844" Type="http://schemas.openxmlformats.org/officeDocument/2006/relationships/hyperlink" Target="https://www.diodes.com/part/view/DESDALC5ALP" TargetMode="External"/><Relationship Id="rId_hyperlink_845" Type="http://schemas.openxmlformats.org/officeDocument/2006/relationships/hyperlink" Target="https://www.diodes.com/datasheet/download/DESDALC5LP.pdf" TargetMode="External"/><Relationship Id="rId_hyperlink_846" Type="http://schemas.openxmlformats.org/officeDocument/2006/relationships/hyperlink" Target="https://www.diodes.com/part/view/DESDALC5LP" TargetMode="External"/><Relationship Id="rId_hyperlink_847" Type="http://schemas.openxmlformats.org/officeDocument/2006/relationships/hyperlink" Target="https://www.diodes.com/datasheet/download/DLP05LC.pdf" TargetMode="External"/><Relationship Id="rId_hyperlink_848" Type="http://schemas.openxmlformats.org/officeDocument/2006/relationships/hyperlink" Target="https://www.diodes.com/part/view/DLP05LC" TargetMode="External"/><Relationship Id="rId_hyperlink_849" Type="http://schemas.openxmlformats.org/officeDocument/2006/relationships/hyperlink" Target="https://www.diodes.com/datasheet/download/DLP05LCA.pdf" TargetMode="External"/><Relationship Id="rId_hyperlink_850" Type="http://schemas.openxmlformats.org/officeDocument/2006/relationships/hyperlink" Target="https://www.diodes.com/part/view/DLP05LCA" TargetMode="External"/><Relationship Id="rId_hyperlink_851" Type="http://schemas.openxmlformats.org/officeDocument/2006/relationships/hyperlink" Target="https://www.diodes.com/datasheet/download/DLPA006.pdf" TargetMode="External"/><Relationship Id="rId_hyperlink_852" Type="http://schemas.openxmlformats.org/officeDocument/2006/relationships/hyperlink" Target="https://www.diodes.com/part/view/DLPA006" TargetMode="External"/><Relationship Id="rId_hyperlink_853" Type="http://schemas.openxmlformats.org/officeDocument/2006/relationships/hyperlink" Target="https://www.diodes.com/datasheet/download/DLPT05.pdf" TargetMode="External"/><Relationship Id="rId_hyperlink_854" Type="http://schemas.openxmlformats.org/officeDocument/2006/relationships/hyperlink" Target="https://www.diodes.com/part/view/DLPT05" TargetMode="External"/><Relationship Id="rId_hyperlink_855" Type="http://schemas.openxmlformats.org/officeDocument/2006/relationships/hyperlink" Target="https://www.diodes.com/datasheet/download/DLPT05A.pdf" TargetMode="External"/><Relationship Id="rId_hyperlink_856" Type="http://schemas.openxmlformats.org/officeDocument/2006/relationships/hyperlink" Target="https://www.diodes.com/part/view/DLPT05A" TargetMode="External"/><Relationship Id="rId_hyperlink_857" Type="http://schemas.openxmlformats.org/officeDocument/2006/relationships/hyperlink" Target="https://www.diodes.com/datasheet/download/DLPT05WA.pdf" TargetMode="External"/><Relationship Id="rId_hyperlink_858" Type="http://schemas.openxmlformats.org/officeDocument/2006/relationships/hyperlink" Target="https://www.diodes.com/part/view/DLPT05WA" TargetMode="External"/><Relationship Id="rId_hyperlink_859" Type="http://schemas.openxmlformats.org/officeDocument/2006/relationships/hyperlink" Target="https://www.diodes.com/datasheet/download/DM1231-02SO.pdf" TargetMode="External"/><Relationship Id="rId_hyperlink_860" Type="http://schemas.openxmlformats.org/officeDocument/2006/relationships/hyperlink" Target="https://www.diodes.com/part/view/DM1231-02SO" TargetMode="External"/><Relationship Id="rId_hyperlink_861" Type="http://schemas.openxmlformats.org/officeDocument/2006/relationships/hyperlink" Target="https://www.diodes.com/datasheet/download/DMF05LCFLPA.pdf" TargetMode="External"/><Relationship Id="rId_hyperlink_862" Type="http://schemas.openxmlformats.org/officeDocument/2006/relationships/hyperlink" Target="https://www.diodes.com/part/view/DMF05LCFLPA" TargetMode="External"/><Relationship Id="rId_hyperlink_863" Type="http://schemas.openxmlformats.org/officeDocument/2006/relationships/hyperlink" Target="https://www.diodes.com/datasheet/download/DMF05LCFLPAQ.pdf" TargetMode="External"/><Relationship Id="rId_hyperlink_864" Type="http://schemas.openxmlformats.org/officeDocument/2006/relationships/hyperlink" Target="https://www.diodes.com/part/view/DMF05LCFLPAQ" TargetMode="External"/><Relationship Id="rId_hyperlink_865" Type="http://schemas.openxmlformats.org/officeDocument/2006/relationships/hyperlink" Target="https://www.diodes.com/datasheet/download/DRTR5V0U1LP.pdf" TargetMode="External"/><Relationship Id="rId_hyperlink_866" Type="http://schemas.openxmlformats.org/officeDocument/2006/relationships/hyperlink" Target="https://www.diodes.com/part/view/DRTR5V0U1LP" TargetMode="External"/><Relationship Id="rId_hyperlink_867" Type="http://schemas.openxmlformats.org/officeDocument/2006/relationships/hyperlink" Target="https://www.diodes.com/datasheet/download/DRTR5V0U1LPQ.pdf" TargetMode="External"/><Relationship Id="rId_hyperlink_868" Type="http://schemas.openxmlformats.org/officeDocument/2006/relationships/hyperlink" Target="https://www.diodes.com/part/view/DRTR5V0U1LPQ" TargetMode="External"/><Relationship Id="rId_hyperlink_869" Type="http://schemas.openxmlformats.org/officeDocument/2006/relationships/hyperlink" Target="https://www.diodes.com/datasheet/download/DRTR5V0U1SO.pdf" TargetMode="External"/><Relationship Id="rId_hyperlink_870" Type="http://schemas.openxmlformats.org/officeDocument/2006/relationships/hyperlink" Target="https://www.diodes.com/part/view/DRTR5V0U1SO" TargetMode="External"/><Relationship Id="rId_hyperlink_871" Type="http://schemas.openxmlformats.org/officeDocument/2006/relationships/hyperlink" Target="https://www.diodes.com/datasheet/download/DRTR5V0U2SO.pdf" TargetMode="External"/><Relationship Id="rId_hyperlink_872" Type="http://schemas.openxmlformats.org/officeDocument/2006/relationships/hyperlink" Target="https://www.diodes.com/part/view/DRTR5V0U2SO" TargetMode="External"/><Relationship Id="rId_hyperlink_873" Type="http://schemas.openxmlformats.org/officeDocument/2006/relationships/hyperlink" Target="https://www.diodes.com/datasheet/download/DRTR5V0U2SOQ.pdf" TargetMode="External"/><Relationship Id="rId_hyperlink_874" Type="http://schemas.openxmlformats.org/officeDocument/2006/relationships/hyperlink" Target="https://www.diodes.com/part/view/DRTR5V0U2SOQ" TargetMode="External"/><Relationship Id="rId_hyperlink_875" Type="http://schemas.openxmlformats.org/officeDocument/2006/relationships/hyperlink" Target="https://www.diodes.com/datasheet/download/DRTR5V0U2SR.pdf" TargetMode="External"/><Relationship Id="rId_hyperlink_876" Type="http://schemas.openxmlformats.org/officeDocument/2006/relationships/hyperlink" Target="https://www.diodes.com/part/view/DRTR5V0U2SR" TargetMode="External"/><Relationship Id="rId_hyperlink_877" Type="http://schemas.openxmlformats.org/officeDocument/2006/relationships/hyperlink" Target="https://www.diodes.com/datasheet/download/DRTR5V0U2SRQ.pdf" TargetMode="External"/><Relationship Id="rId_hyperlink_878" Type="http://schemas.openxmlformats.org/officeDocument/2006/relationships/hyperlink" Target="https://www.diodes.com/part/view/DRTR5V0U2SRQ" TargetMode="External"/><Relationship Id="rId_hyperlink_879" Type="http://schemas.openxmlformats.org/officeDocument/2006/relationships/hyperlink" Target="https://www.diodes.com/datasheet/download/DRTR5V0U4LP16.pdf" TargetMode="External"/><Relationship Id="rId_hyperlink_880" Type="http://schemas.openxmlformats.org/officeDocument/2006/relationships/hyperlink" Target="https://www.diodes.com/part/view/DRTR5V0U4LP16" TargetMode="External"/><Relationship Id="rId_hyperlink_881" Type="http://schemas.openxmlformats.org/officeDocument/2006/relationships/hyperlink" Target="https://www.diodes.com/datasheet/download/DRTR5V0U4S.pdf" TargetMode="External"/><Relationship Id="rId_hyperlink_882" Type="http://schemas.openxmlformats.org/officeDocument/2006/relationships/hyperlink" Target="https://www.diodes.com/part/view/DRTR5V0U4S" TargetMode="External"/><Relationship Id="rId_hyperlink_883" Type="http://schemas.openxmlformats.org/officeDocument/2006/relationships/hyperlink" Target="https://www.diodes.com/datasheet/download/DRTR5V0U4SL.pdf" TargetMode="External"/><Relationship Id="rId_hyperlink_884" Type="http://schemas.openxmlformats.org/officeDocument/2006/relationships/hyperlink" Target="https://www.diodes.com/part/view/DRTR5V0U4SL" TargetMode="External"/><Relationship Id="rId_hyperlink_885" Type="http://schemas.openxmlformats.org/officeDocument/2006/relationships/hyperlink" Target="https://www.diodes.com/datasheet/download/DT1042-02SR.pdf" TargetMode="External"/><Relationship Id="rId_hyperlink_886" Type="http://schemas.openxmlformats.org/officeDocument/2006/relationships/hyperlink" Target="https://www.diodes.com/part/view/DT1042-02SR" TargetMode="External"/><Relationship Id="rId_hyperlink_887" Type="http://schemas.openxmlformats.org/officeDocument/2006/relationships/hyperlink" Target="https://www.diodes.com/datasheet/download/DT1042-02SRQ.pdf" TargetMode="External"/><Relationship Id="rId_hyperlink_888" Type="http://schemas.openxmlformats.org/officeDocument/2006/relationships/hyperlink" Target="https://www.diodes.com/part/view/DT1042-02SRQ" TargetMode="External"/><Relationship Id="rId_hyperlink_889" Type="http://schemas.openxmlformats.org/officeDocument/2006/relationships/hyperlink" Target="https://www.diodes.com/datasheet/download/DT1042-04SO.pdf" TargetMode="External"/><Relationship Id="rId_hyperlink_890" Type="http://schemas.openxmlformats.org/officeDocument/2006/relationships/hyperlink" Target="https://www.diodes.com/part/view/DT1042-04SO" TargetMode="External"/><Relationship Id="rId_hyperlink_891" Type="http://schemas.openxmlformats.org/officeDocument/2006/relationships/hyperlink" Target="https://www.diodes.com/datasheet/download/DT1042-04SOQ.pdf" TargetMode="External"/><Relationship Id="rId_hyperlink_892" Type="http://schemas.openxmlformats.org/officeDocument/2006/relationships/hyperlink" Target="https://www.diodes.com/part/view/DT1042-04SOQ" TargetMode="External"/><Relationship Id="rId_hyperlink_893" Type="http://schemas.openxmlformats.org/officeDocument/2006/relationships/hyperlink" Target="https://www.diodes.com/datasheet/download/DT1042-04TS.pdf" TargetMode="External"/><Relationship Id="rId_hyperlink_894" Type="http://schemas.openxmlformats.org/officeDocument/2006/relationships/hyperlink" Target="https://www.diodes.com/part/view/DT1042-04TS" TargetMode="External"/><Relationship Id="rId_hyperlink_895" Type="http://schemas.openxmlformats.org/officeDocument/2006/relationships/hyperlink" Target="https://www.diodes.com/datasheet/download/DT1140-04LP.pdf" TargetMode="External"/><Relationship Id="rId_hyperlink_896" Type="http://schemas.openxmlformats.org/officeDocument/2006/relationships/hyperlink" Target="https://www.diodes.com/part/view/DT1140-04LP" TargetMode="External"/><Relationship Id="rId_hyperlink_897" Type="http://schemas.openxmlformats.org/officeDocument/2006/relationships/hyperlink" Target="https://www.diodes.com/datasheet/download/DT1140-04LPQ.pdf" TargetMode="External"/><Relationship Id="rId_hyperlink_898" Type="http://schemas.openxmlformats.org/officeDocument/2006/relationships/hyperlink" Target="https://www.diodes.com/part/view/DT1140-04LPQ" TargetMode="External"/><Relationship Id="rId_hyperlink_899" Type="http://schemas.openxmlformats.org/officeDocument/2006/relationships/hyperlink" Target="https://www.diodes.com/datasheet/download/DT1240-04LP.pdf" TargetMode="External"/><Relationship Id="rId_hyperlink_900" Type="http://schemas.openxmlformats.org/officeDocument/2006/relationships/hyperlink" Target="https://www.diodes.com/part/view/DT1240-04LP" TargetMode="External"/><Relationship Id="rId_hyperlink_901" Type="http://schemas.openxmlformats.org/officeDocument/2006/relationships/hyperlink" Target="https://www.diodes.com/datasheet/download/DT1240-04LP20.pdf" TargetMode="External"/><Relationship Id="rId_hyperlink_902" Type="http://schemas.openxmlformats.org/officeDocument/2006/relationships/hyperlink" Target="https://www.diodes.com/part/view/DT1240-04LP20" TargetMode="External"/><Relationship Id="rId_hyperlink_903" Type="http://schemas.openxmlformats.org/officeDocument/2006/relationships/hyperlink" Target="https://www.diodes.com/datasheet/download/DT1240-04LPQ.pdf" TargetMode="External"/><Relationship Id="rId_hyperlink_904" Type="http://schemas.openxmlformats.org/officeDocument/2006/relationships/hyperlink" Target="https://www.diodes.com/part/view/DT1240-04LPQ" TargetMode="External"/><Relationship Id="rId_hyperlink_905" Type="http://schemas.openxmlformats.org/officeDocument/2006/relationships/hyperlink" Target="https://www.diodes.com/datasheet/download/DT1240-08LP3810.pdf" TargetMode="External"/><Relationship Id="rId_hyperlink_906" Type="http://schemas.openxmlformats.org/officeDocument/2006/relationships/hyperlink" Target="https://www.diodes.com/part/view/DT1240-08LP3810" TargetMode="External"/><Relationship Id="rId_hyperlink_907" Type="http://schemas.openxmlformats.org/officeDocument/2006/relationships/hyperlink" Target="https://www.diodes.com/datasheet/download/DT1240A-04LP.pdf" TargetMode="External"/><Relationship Id="rId_hyperlink_908" Type="http://schemas.openxmlformats.org/officeDocument/2006/relationships/hyperlink" Target="https://www.diodes.com/part/view/DT1240A-04LP" TargetMode="External"/><Relationship Id="rId_hyperlink_909" Type="http://schemas.openxmlformats.org/officeDocument/2006/relationships/hyperlink" Target="https://www.diodes.com/datasheet/download/DT1240A-04LP20.pdf" TargetMode="External"/><Relationship Id="rId_hyperlink_910" Type="http://schemas.openxmlformats.org/officeDocument/2006/relationships/hyperlink" Target="https://www.diodes.com/part/view/DT1240A-04LP20" TargetMode="External"/><Relationship Id="rId_hyperlink_911" Type="http://schemas.openxmlformats.org/officeDocument/2006/relationships/hyperlink" Target="https://www.diodes.com/datasheet/download/DT1240A-04LPQ.pdf" TargetMode="External"/><Relationship Id="rId_hyperlink_912" Type="http://schemas.openxmlformats.org/officeDocument/2006/relationships/hyperlink" Target="https://www.diodes.com/part/view/DT1240A-04LPQ" TargetMode="External"/><Relationship Id="rId_hyperlink_913" Type="http://schemas.openxmlformats.org/officeDocument/2006/relationships/hyperlink" Target="https://www.diodes.com/datasheet/download/DT1240A-08LP3810.pdf" TargetMode="External"/><Relationship Id="rId_hyperlink_914" Type="http://schemas.openxmlformats.org/officeDocument/2006/relationships/hyperlink" Target="https://www.diodes.com/part/view/DT1240A-08LP3810" TargetMode="External"/><Relationship Id="rId_hyperlink_915" Type="http://schemas.openxmlformats.org/officeDocument/2006/relationships/hyperlink" Target="https://www.diodes.com/datasheet/download/DT1240A-08LP3810Q.pdf" TargetMode="External"/><Relationship Id="rId_hyperlink_916" Type="http://schemas.openxmlformats.org/officeDocument/2006/relationships/hyperlink" Target="https://www.diodes.com/part/view/DT1240A-08LP3810Q" TargetMode="External"/><Relationship Id="rId_hyperlink_917" Type="http://schemas.openxmlformats.org/officeDocument/2006/relationships/hyperlink" Target="https://www.diodes.com/datasheet/download/DT1240E-04LP.pdf" TargetMode="External"/><Relationship Id="rId_hyperlink_918" Type="http://schemas.openxmlformats.org/officeDocument/2006/relationships/hyperlink" Target="https://www.diodes.com/part/view/DT1240E-04LP" TargetMode="External"/><Relationship Id="rId_hyperlink_919" Type="http://schemas.openxmlformats.org/officeDocument/2006/relationships/hyperlink" Target="https://www.diodes.com/datasheet/download/DT1240V3-04LP.pdf" TargetMode="External"/><Relationship Id="rId_hyperlink_920" Type="http://schemas.openxmlformats.org/officeDocument/2006/relationships/hyperlink" Target="https://www.diodes.com/part/view/DT1240V3-04LP" TargetMode="External"/><Relationship Id="rId_hyperlink_921" Type="http://schemas.openxmlformats.org/officeDocument/2006/relationships/hyperlink" Target="https://www.diodes.com/datasheet/download/DT1240V3-04SO.pdf" TargetMode="External"/><Relationship Id="rId_hyperlink_922" Type="http://schemas.openxmlformats.org/officeDocument/2006/relationships/hyperlink" Target="https://www.diodes.com/part/view/DT1240V3-04SO" TargetMode="External"/><Relationship Id="rId_hyperlink_923" Type="http://schemas.openxmlformats.org/officeDocument/2006/relationships/hyperlink" Target="https://www.diodes.com/datasheet/download/DT1446-04S.pdf" TargetMode="External"/><Relationship Id="rId_hyperlink_924" Type="http://schemas.openxmlformats.org/officeDocument/2006/relationships/hyperlink" Target="https://www.diodes.com/part/view/DT1446-04S" TargetMode="External"/><Relationship Id="rId_hyperlink_925" Type="http://schemas.openxmlformats.org/officeDocument/2006/relationships/hyperlink" Target="https://www.diodes.com/datasheet/download/DT1446-04SO.pdf" TargetMode="External"/><Relationship Id="rId_hyperlink_926" Type="http://schemas.openxmlformats.org/officeDocument/2006/relationships/hyperlink" Target="https://www.diodes.com/part/view/DT1446-04SO" TargetMode="External"/><Relationship Id="rId_hyperlink_927" Type="http://schemas.openxmlformats.org/officeDocument/2006/relationships/hyperlink" Target="https://www.diodes.com/datasheet/download/DT1446-04TS.pdf" TargetMode="External"/><Relationship Id="rId_hyperlink_928" Type="http://schemas.openxmlformats.org/officeDocument/2006/relationships/hyperlink" Target="https://www.diodes.com/part/view/DT1446-04TS" TargetMode="External"/><Relationship Id="rId_hyperlink_929" Type="http://schemas.openxmlformats.org/officeDocument/2006/relationships/hyperlink" Target="https://www.diodes.com/datasheet/download/DT1446-04V.pdf" TargetMode="External"/><Relationship Id="rId_hyperlink_930" Type="http://schemas.openxmlformats.org/officeDocument/2006/relationships/hyperlink" Target="https://www.diodes.com/part/view/DT1446-04V" TargetMode="External"/><Relationship Id="rId_hyperlink_931" Type="http://schemas.openxmlformats.org/officeDocument/2006/relationships/hyperlink" Target="https://www.diodes.com/datasheet/download/DT1452-02SO.pdf" TargetMode="External"/><Relationship Id="rId_hyperlink_932" Type="http://schemas.openxmlformats.org/officeDocument/2006/relationships/hyperlink" Target="https://www.diodes.com/part/view/DT1452-02SO" TargetMode="External"/><Relationship Id="rId_hyperlink_933" Type="http://schemas.openxmlformats.org/officeDocument/2006/relationships/hyperlink" Target="https://www.diodes.com/datasheet/download/DT1452-02SOQ.pdf" TargetMode="External"/><Relationship Id="rId_hyperlink_934" Type="http://schemas.openxmlformats.org/officeDocument/2006/relationships/hyperlink" Target="https://www.diodes.com/part/view/DT1452-02SOQ" TargetMode="External"/><Relationship Id="rId_hyperlink_935" Type="http://schemas.openxmlformats.org/officeDocument/2006/relationships/hyperlink" Target="https://www.diodes.com/datasheet/download/DT2041-04SO.pdf" TargetMode="External"/><Relationship Id="rId_hyperlink_936" Type="http://schemas.openxmlformats.org/officeDocument/2006/relationships/hyperlink" Target="https://www.diodes.com/part/view/DT2041-04SO" TargetMode="External"/><Relationship Id="rId_hyperlink_937" Type="http://schemas.openxmlformats.org/officeDocument/2006/relationships/hyperlink" Target="https://www.diodes.com/datasheet/download/DT2042-04SO.pdf" TargetMode="External"/><Relationship Id="rId_hyperlink_938" Type="http://schemas.openxmlformats.org/officeDocument/2006/relationships/hyperlink" Target="https://www.diodes.com/part/view/DT2042-04SO" TargetMode="External"/><Relationship Id="rId_hyperlink_939" Type="http://schemas.openxmlformats.org/officeDocument/2006/relationships/hyperlink" Target="https://www.diodes.com/datasheet/download/DT2042-04SOQ.pdf" TargetMode="External"/><Relationship Id="rId_hyperlink_940" Type="http://schemas.openxmlformats.org/officeDocument/2006/relationships/hyperlink" Target="https://www.diodes.com/part/view/DT2042-04SOQ" TargetMode="External"/><Relationship Id="rId_hyperlink_941" Type="http://schemas.openxmlformats.org/officeDocument/2006/relationships/hyperlink" Target="https://www.diodes.com/datasheet/download/DT2042-04TS.pdf" TargetMode="External"/><Relationship Id="rId_hyperlink_942" Type="http://schemas.openxmlformats.org/officeDocument/2006/relationships/hyperlink" Target="https://www.diodes.com/part/view/DT2042-04TS" TargetMode="External"/><Relationship Id="rId_hyperlink_943" Type="http://schemas.openxmlformats.org/officeDocument/2006/relationships/hyperlink" Target="https://www.diodes.com/datasheet/download/DT2636-04S.pdf" TargetMode="External"/><Relationship Id="rId_hyperlink_944" Type="http://schemas.openxmlformats.org/officeDocument/2006/relationships/hyperlink" Target="https://www.diodes.com/part/view/DT2636-04S" TargetMode="External"/><Relationship Id="rId_hyperlink_945" Type="http://schemas.openxmlformats.org/officeDocument/2006/relationships/hyperlink" Target="https://www.diodes.com/datasheet/download/DT6250-06MR.pdf" TargetMode="External"/><Relationship Id="rId_hyperlink_946" Type="http://schemas.openxmlformats.org/officeDocument/2006/relationships/hyperlink" Target="https://www.diodes.com/part/view/DT6250-06MR" TargetMode="External"/><Relationship Id="rId_hyperlink_947" Type="http://schemas.openxmlformats.org/officeDocument/2006/relationships/hyperlink" Target="https://www.diodes.com/datasheet/download/DTVS20SP4UR.pdf" TargetMode="External"/><Relationship Id="rId_hyperlink_948" Type="http://schemas.openxmlformats.org/officeDocument/2006/relationships/hyperlink" Target="https://www.diodes.com/part/view/DTVS20SP4UR" TargetMode="External"/><Relationship Id="rId_hyperlink_949" Type="http://schemas.openxmlformats.org/officeDocument/2006/relationships/hyperlink" Target="https://www.diodes.com/datasheet/download/DTVS22SP4UR.pdf" TargetMode="External"/><Relationship Id="rId_hyperlink_950" Type="http://schemas.openxmlformats.org/officeDocument/2006/relationships/hyperlink" Target="https://www.diodes.com/part/view/DTVS22SP4UR" TargetMode="External"/><Relationship Id="rId_hyperlink_951" Type="http://schemas.openxmlformats.org/officeDocument/2006/relationships/hyperlink" Target="https://www.diodes.com/datasheet/download/DUP1105SOQ.pdf" TargetMode="External"/><Relationship Id="rId_hyperlink_952" Type="http://schemas.openxmlformats.org/officeDocument/2006/relationships/hyperlink" Target="https://www.diodes.com/part/view/DUP1105SOQ" TargetMode="External"/><Relationship Id="rId_hyperlink_953" Type="http://schemas.openxmlformats.org/officeDocument/2006/relationships/hyperlink" Target="https://www.diodes.com/datasheet/download/DUP2105SOQ.pdf" TargetMode="External"/><Relationship Id="rId_hyperlink_954" Type="http://schemas.openxmlformats.org/officeDocument/2006/relationships/hyperlink" Target="https://www.diodes.com/part/view/DUP2105SOQ" TargetMode="External"/><Relationship Id="rId_hyperlink_955" Type="http://schemas.openxmlformats.org/officeDocument/2006/relationships/hyperlink" Target="https://www.diodes.com/datasheet/download/DUP3105SOQ.pdf" TargetMode="External"/><Relationship Id="rId_hyperlink_956" Type="http://schemas.openxmlformats.org/officeDocument/2006/relationships/hyperlink" Target="https://www.diodes.com/part/view/DUP3105SOQ" TargetMode="External"/><Relationship Id="rId_hyperlink_957" Type="http://schemas.openxmlformats.org/officeDocument/2006/relationships/hyperlink" Target="https://www.diodes.com/datasheet/download/DZQA5V6AXV5.pdf" TargetMode="External"/><Relationship Id="rId_hyperlink_958" Type="http://schemas.openxmlformats.org/officeDocument/2006/relationships/hyperlink" Target="https://www.diodes.com/part/view/DZQA5V6AXV5" TargetMode="External"/><Relationship Id="rId_hyperlink_959" Type="http://schemas.openxmlformats.org/officeDocument/2006/relationships/hyperlink" Target="https://www.diodes.com/datasheet/download/DZQA6V8AXV5.pdf" TargetMode="External"/><Relationship Id="rId_hyperlink_960" Type="http://schemas.openxmlformats.org/officeDocument/2006/relationships/hyperlink" Target="https://www.diodes.com/part/view/DZQA6V8AXV5" TargetMode="External"/><Relationship Id="rId_hyperlink_961" Type="http://schemas.openxmlformats.org/officeDocument/2006/relationships/hyperlink" Target="https://www.diodes.com/datasheet/download/L25L5V0CB2.pdf" TargetMode="External"/><Relationship Id="rId_hyperlink_962" Type="http://schemas.openxmlformats.org/officeDocument/2006/relationships/hyperlink" Target="https://www.diodes.com/part/view/L25L5V0CB2" TargetMode="External"/><Relationship Id="rId_hyperlink_963" Type="http://schemas.openxmlformats.org/officeDocument/2006/relationships/hyperlink" Target="https://www.diodes.com/datasheet/download/L30ESD5V0AC3-2.pdf" TargetMode="External"/><Relationship Id="rId_hyperlink_964" Type="http://schemas.openxmlformats.org/officeDocument/2006/relationships/hyperlink" Target="https://www.diodes.com/part/view/L30ESD5V0AC3-2" TargetMode="External"/><Relationship Id="rId_hyperlink_965" Type="http://schemas.openxmlformats.org/officeDocument/2006/relationships/hyperlink" Target="https://www.diodes.com/datasheet/download/L50L5V0CB2.pdf" TargetMode="External"/><Relationship Id="rId_hyperlink_966" Type="http://schemas.openxmlformats.org/officeDocument/2006/relationships/hyperlink" Target="https://www.diodes.com/part/view/L50L5V0CB2" TargetMode="External"/><Relationship Id="rId_hyperlink_967" Type="http://schemas.openxmlformats.org/officeDocument/2006/relationships/hyperlink" Target="https://www.diodes.com/datasheet/download/ds45190.pdf" TargetMode="External"/><Relationship Id="rId_hyperlink_968" Type="http://schemas.openxmlformats.org/officeDocument/2006/relationships/hyperlink" Target="https://www.diodes.com/part/view/MMBZ10VALA" TargetMode="External"/><Relationship Id="rId_hyperlink_969" Type="http://schemas.openxmlformats.org/officeDocument/2006/relationships/hyperlink" Target="https://www.diodes.com/datasheet/download/ds45282.pdf" TargetMode="External"/><Relationship Id="rId_hyperlink_970" Type="http://schemas.openxmlformats.org/officeDocument/2006/relationships/hyperlink" Target="https://www.diodes.com/part/view/MMBZ10VALAQ" TargetMode="External"/><Relationship Id="rId_hyperlink_971" Type="http://schemas.openxmlformats.org/officeDocument/2006/relationships/hyperlink" Target="https://www.diodes.com/datasheet/download/ds45434.pdf" TargetMode="External"/><Relationship Id="rId_hyperlink_972" Type="http://schemas.openxmlformats.org/officeDocument/2006/relationships/hyperlink" Target="https://www.diodes.com/part/view/MMBZ10VCLA" TargetMode="External"/><Relationship Id="rId_hyperlink_973" Type="http://schemas.openxmlformats.org/officeDocument/2006/relationships/hyperlink" Target="https://www.diodes.com/datasheet/download/ds46087.pdf" TargetMode="External"/><Relationship Id="rId_hyperlink_974" Type="http://schemas.openxmlformats.org/officeDocument/2006/relationships/hyperlink" Target="https://www.diodes.com/part/view/MMBZ10VCLAQ" TargetMode="External"/><Relationship Id="rId_hyperlink_975" Type="http://schemas.openxmlformats.org/officeDocument/2006/relationships/hyperlink" Target="https://www.diodes.com/datasheet/download/ds45190.pdf" TargetMode="External"/><Relationship Id="rId_hyperlink_976" Type="http://schemas.openxmlformats.org/officeDocument/2006/relationships/hyperlink" Target="https://www.diodes.com/part/view/MMBZ15VALA" TargetMode="External"/><Relationship Id="rId_hyperlink_977" Type="http://schemas.openxmlformats.org/officeDocument/2006/relationships/hyperlink" Target="https://www.diodes.com/datasheet/download/ds45282.pdf" TargetMode="External"/><Relationship Id="rId_hyperlink_978" Type="http://schemas.openxmlformats.org/officeDocument/2006/relationships/hyperlink" Target="https://www.diodes.com/part/view/MMBZ15VALAQ" TargetMode="External"/><Relationship Id="rId_hyperlink_979" Type="http://schemas.openxmlformats.org/officeDocument/2006/relationships/hyperlink" Target="https://www.diodes.com/datasheet/download/ds45434.pdf" TargetMode="External"/><Relationship Id="rId_hyperlink_980" Type="http://schemas.openxmlformats.org/officeDocument/2006/relationships/hyperlink" Target="https://www.diodes.com/part/view/MMBZ15VCLA" TargetMode="External"/><Relationship Id="rId_hyperlink_981" Type="http://schemas.openxmlformats.org/officeDocument/2006/relationships/hyperlink" Target="https://www.diodes.com/datasheet/download/ds46087.pdf" TargetMode="External"/><Relationship Id="rId_hyperlink_982" Type="http://schemas.openxmlformats.org/officeDocument/2006/relationships/hyperlink" Target="https://www.diodes.com/part/view/MMBZ15VCLAQ" TargetMode="External"/><Relationship Id="rId_hyperlink_983" Type="http://schemas.openxmlformats.org/officeDocument/2006/relationships/hyperlink" Target="https://www.diodes.com/datasheet/download/ds45190.pdf" TargetMode="External"/><Relationship Id="rId_hyperlink_984" Type="http://schemas.openxmlformats.org/officeDocument/2006/relationships/hyperlink" Target="https://www.diodes.com/part/view/MMBZ18VALA" TargetMode="External"/><Relationship Id="rId_hyperlink_985" Type="http://schemas.openxmlformats.org/officeDocument/2006/relationships/hyperlink" Target="https://www.diodes.com/datasheet/download/ds45282.pdf" TargetMode="External"/><Relationship Id="rId_hyperlink_986" Type="http://schemas.openxmlformats.org/officeDocument/2006/relationships/hyperlink" Target="https://www.diodes.com/part/view/MMBZ18VALAQ" TargetMode="External"/><Relationship Id="rId_hyperlink_987" Type="http://schemas.openxmlformats.org/officeDocument/2006/relationships/hyperlink" Target="https://www.diodes.com/datasheet/download/ds45434.pdf" TargetMode="External"/><Relationship Id="rId_hyperlink_988" Type="http://schemas.openxmlformats.org/officeDocument/2006/relationships/hyperlink" Target="https://www.diodes.com/part/view/MMBZ18VCLA" TargetMode="External"/><Relationship Id="rId_hyperlink_989" Type="http://schemas.openxmlformats.org/officeDocument/2006/relationships/hyperlink" Target="https://www.diodes.com/datasheet/download/ds46087.pdf" TargetMode="External"/><Relationship Id="rId_hyperlink_990" Type="http://schemas.openxmlformats.org/officeDocument/2006/relationships/hyperlink" Target="https://www.diodes.com/part/view/MMBZ18VCLAQ" TargetMode="External"/><Relationship Id="rId_hyperlink_991" Type="http://schemas.openxmlformats.org/officeDocument/2006/relationships/hyperlink" Target="https://www.diodes.com/datasheet/download/ds45190.pdf" TargetMode="External"/><Relationship Id="rId_hyperlink_992" Type="http://schemas.openxmlformats.org/officeDocument/2006/relationships/hyperlink" Target="https://www.diodes.com/part/view/MMBZ20VALA" TargetMode="External"/><Relationship Id="rId_hyperlink_993" Type="http://schemas.openxmlformats.org/officeDocument/2006/relationships/hyperlink" Target="https://www.diodes.com/datasheet/download/ds45282.pdf" TargetMode="External"/><Relationship Id="rId_hyperlink_994" Type="http://schemas.openxmlformats.org/officeDocument/2006/relationships/hyperlink" Target="https://www.diodes.com/part/view/MMBZ20VALAQ" TargetMode="External"/><Relationship Id="rId_hyperlink_995" Type="http://schemas.openxmlformats.org/officeDocument/2006/relationships/hyperlink" Target="https://www.diodes.com/datasheet/download/ds45434.pdf" TargetMode="External"/><Relationship Id="rId_hyperlink_996" Type="http://schemas.openxmlformats.org/officeDocument/2006/relationships/hyperlink" Target="https://www.diodes.com/part/view/MMBZ20VCLA" TargetMode="External"/><Relationship Id="rId_hyperlink_997" Type="http://schemas.openxmlformats.org/officeDocument/2006/relationships/hyperlink" Target="https://www.diodes.com/datasheet/download/ds46087.pdf" TargetMode="External"/><Relationship Id="rId_hyperlink_998" Type="http://schemas.openxmlformats.org/officeDocument/2006/relationships/hyperlink" Target="https://www.diodes.com/part/view/MMBZ20VCLAQ" TargetMode="External"/><Relationship Id="rId_hyperlink_999" Type="http://schemas.openxmlformats.org/officeDocument/2006/relationships/hyperlink" Target="https://www.diodes.com/datasheet/download/ds45190.pdf" TargetMode="External"/><Relationship Id="rId_hyperlink_1000" Type="http://schemas.openxmlformats.org/officeDocument/2006/relationships/hyperlink" Target="https://www.diodes.com/part/view/MMBZ27VALA" TargetMode="External"/><Relationship Id="rId_hyperlink_1001" Type="http://schemas.openxmlformats.org/officeDocument/2006/relationships/hyperlink" Target="https://www.diodes.com/datasheet/download/ds45282.pdf" TargetMode="External"/><Relationship Id="rId_hyperlink_1002" Type="http://schemas.openxmlformats.org/officeDocument/2006/relationships/hyperlink" Target="https://www.diodes.com/part/view/MMBZ27VALAQ" TargetMode="External"/><Relationship Id="rId_hyperlink_1003" Type="http://schemas.openxmlformats.org/officeDocument/2006/relationships/hyperlink" Target="https://www.diodes.com/datasheet/download/ds45434.pdf" TargetMode="External"/><Relationship Id="rId_hyperlink_1004" Type="http://schemas.openxmlformats.org/officeDocument/2006/relationships/hyperlink" Target="https://www.diodes.com/part/view/MMBZ27VCLA" TargetMode="External"/><Relationship Id="rId_hyperlink_1005" Type="http://schemas.openxmlformats.org/officeDocument/2006/relationships/hyperlink" Target="https://www.diodes.com/datasheet/download/ds46087.pdf" TargetMode="External"/><Relationship Id="rId_hyperlink_1006" Type="http://schemas.openxmlformats.org/officeDocument/2006/relationships/hyperlink" Target="https://www.diodes.com/part/view/MMBZ27VCLAQ" TargetMode="External"/><Relationship Id="rId_hyperlink_1007" Type="http://schemas.openxmlformats.org/officeDocument/2006/relationships/hyperlink" Target="https://www.diodes.com/datasheet/download/ds45190.pdf" TargetMode="External"/><Relationship Id="rId_hyperlink_1008" Type="http://schemas.openxmlformats.org/officeDocument/2006/relationships/hyperlink" Target="https://www.diodes.com/part/view/MMBZ33VALA" TargetMode="External"/><Relationship Id="rId_hyperlink_1009" Type="http://schemas.openxmlformats.org/officeDocument/2006/relationships/hyperlink" Target="https://www.diodes.com/datasheet/download/ds45282.pdf" TargetMode="External"/><Relationship Id="rId_hyperlink_1010" Type="http://schemas.openxmlformats.org/officeDocument/2006/relationships/hyperlink" Target="https://www.diodes.com/part/view/MMBZ33VALAQ" TargetMode="External"/><Relationship Id="rId_hyperlink_1011" Type="http://schemas.openxmlformats.org/officeDocument/2006/relationships/hyperlink" Target="https://www.diodes.com/datasheet/download/ds45434.pdf" TargetMode="External"/><Relationship Id="rId_hyperlink_1012" Type="http://schemas.openxmlformats.org/officeDocument/2006/relationships/hyperlink" Target="https://www.diodes.com/part/view/MMBZ33VCLA" TargetMode="External"/><Relationship Id="rId_hyperlink_1013" Type="http://schemas.openxmlformats.org/officeDocument/2006/relationships/hyperlink" Target="https://www.diodes.com/datasheet/download/ds46087.pdf" TargetMode="External"/><Relationship Id="rId_hyperlink_1014" Type="http://schemas.openxmlformats.org/officeDocument/2006/relationships/hyperlink" Target="https://www.diodes.com/part/view/MMBZ33VCLAQ" TargetMode="External"/><Relationship Id="rId_hyperlink_1015" Type="http://schemas.openxmlformats.org/officeDocument/2006/relationships/hyperlink" Target="https://www.diodes.com/datasheet/download/ds45190.pdf" TargetMode="External"/><Relationship Id="rId_hyperlink_1016" Type="http://schemas.openxmlformats.org/officeDocument/2006/relationships/hyperlink" Target="https://www.diodes.com/part/view/MMBZ5V6ALA" TargetMode="External"/><Relationship Id="rId_hyperlink_1017" Type="http://schemas.openxmlformats.org/officeDocument/2006/relationships/hyperlink" Target="https://www.diodes.com/datasheet/download/ds45282.pdf" TargetMode="External"/><Relationship Id="rId_hyperlink_1018" Type="http://schemas.openxmlformats.org/officeDocument/2006/relationships/hyperlink" Target="https://www.diodes.com/part/view/MMBZ5V6ALAQ" TargetMode="External"/><Relationship Id="rId_hyperlink_1019" Type="http://schemas.openxmlformats.org/officeDocument/2006/relationships/hyperlink" Target="https://www.diodes.com/datasheet/download/ds45434.pdf" TargetMode="External"/><Relationship Id="rId_hyperlink_1020" Type="http://schemas.openxmlformats.org/officeDocument/2006/relationships/hyperlink" Target="https://www.diodes.com/part/view/MMBZ5V6CLA" TargetMode="External"/><Relationship Id="rId_hyperlink_1021" Type="http://schemas.openxmlformats.org/officeDocument/2006/relationships/hyperlink" Target="https://www.diodes.com/datasheet/download/ds46087.pdf" TargetMode="External"/><Relationship Id="rId_hyperlink_1022" Type="http://schemas.openxmlformats.org/officeDocument/2006/relationships/hyperlink" Target="https://www.diodes.com/part/view/MMBZ5V6CLAQ" TargetMode="External"/><Relationship Id="rId_hyperlink_1023" Type="http://schemas.openxmlformats.org/officeDocument/2006/relationships/hyperlink" Target="https://www.diodes.com/datasheet/download/ds45190.pdf" TargetMode="External"/><Relationship Id="rId_hyperlink_1024" Type="http://schemas.openxmlformats.org/officeDocument/2006/relationships/hyperlink" Target="https://www.diodes.com/part/view/MMBZ6V2ALA" TargetMode="External"/><Relationship Id="rId_hyperlink_1025" Type="http://schemas.openxmlformats.org/officeDocument/2006/relationships/hyperlink" Target="https://www.diodes.com/datasheet/download/ds45282.pdf" TargetMode="External"/><Relationship Id="rId_hyperlink_1026" Type="http://schemas.openxmlformats.org/officeDocument/2006/relationships/hyperlink" Target="https://www.diodes.com/part/view/MMBZ6V2ALAQ" TargetMode="External"/><Relationship Id="rId_hyperlink_1027" Type="http://schemas.openxmlformats.org/officeDocument/2006/relationships/hyperlink" Target="https://www.diodes.com/datasheet/download/ds45434.pdf" TargetMode="External"/><Relationship Id="rId_hyperlink_1028" Type="http://schemas.openxmlformats.org/officeDocument/2006/relationships/hyperlink" Target="https://www.diodes.com/part/view/MMBZ6V2CLA" TargetMode="External"/><Relationship Id="rId_hyperlink_1029" Type="http://schemas.openxmlformats.org/officeDocument/2006/relationships/hyperlink" Target="https://www.diodes.com/datasheet/download/ds46087.pdf" TargetMode="External"/><Relationship Id="rId_hyperlink_1030" Type="http://schemas.openxmlformats.org/officeDocument/2006/relationships/hyperlink" Target="https://www.diodes.com/part/view/MMBZ6V2CLAQ" TargetMode="External"/><Relationship Id="rId_hyperlink_1031" Type="http://schemas.openxmlformats.org/officeDocument/2006/relationships/hyperlink" Target="https://www.diodes.com/datasheet/download/ds45190.pdf" TargetMode="External"/><Relationship Id="rId_hyperlink_1032" Type="http://schemas.openxmlformats.org/officeDocument/2006/relationships/hyperlink" Target="https://www.diodes.com/part/view/MMBZ6V8ALA" TargetMode="External"/><Relationship Id="rId_hyperlink_1033" Type="http://schemas.openxmlformats.org/officeDocument/2006/relationships/hyperlink" Target="https://www.diodes.com/datasheet/download/ds45282.pdf" TargetMode="External"/><Relationship Id="rId_hyperlink_1034" Type="http://schemas.openxmlformats.org/officeDocument/2006/relationships/hyperlink" Target="https://www.diodes.com/part/view/MMBZ6V8ALAQ" TargetMode="External"/><Relationship Id="rId_hyperlink_1035" Type="http://schemas.openxmlformats.org/officeDocument/2006/relationships/hyperlink" Target="https://www.diodes.com/datasheet/download/ds45434.pdf" TargetMode="External"/><Relationship Id="rId_hyperlink_1036" Type="http://schemas.openxmlformats.org/officeDocument/2006/relationships/hyperlink" Target="https://www.diodes.com/part/view/MMBZ6V8CLA" TargetMode="External"/><Relationship Id="rId_hyperlink_1037" Type="http://schemas.openxmlformats.org/officeDocument/2006/relationships/hyperlink" Target="https://www.diodes.com/datasheet/download/ds46087.pdf" TargetMode="External"/><Relationship Id="rId_hyperlink_1038" Type="http://schemas.openxmlformats.org/officeDocument/2006/relationships/hyperlink" Target="https://www.diodes.com/part/view/MMBZ6V8CLAQ" TargetMode="External"/><Relationship Id="rId_hyperlink_1039" Type="http://schemas.openxmlformats.org/officeDocument/2006/relationships/hyperlink" Target="https://www.diodes.com/datasheet/download/ds45190.pdf" TargetMode="External"/><Relationship Id="rId_hyperlink_1040" Type="http://schemas.openxmlformats.org/officeDocument/2006/relationships/hyperlink" Target="https://www.diodes.com/part/view/MMBZ9V1ALA" TargetMode="External"/><Relationship Id="rId_hyperlink_1041" Type="http://schemas.openxmlformats.org/officeDocument/2006/relationships/hyperlink" Target="https://www.diodes.com/datasheet/download/ds45282.pdf" TargetMode="External"/><Relationship Id="rId_hyperlink_1042" Type="http://schemas.openxmlformats.org/officeDocument/2006/relationships/hyperlink" Target="https://www.diodes.com/part/view/MMBZ9V1ALAQ" TargetMode="External"/><Relationship Id="rId_hyperlink_1043" Type="http://schemas.openxmlformats.org/officeDocument/2006/relationships/hyperlink" Target="https://www.diodes.com/datasheet/download/ds45434.pdf" TargetMode="External"/><Relationship Id="rId_hyperlink_1044" Type="http://schemas.openxmlformats.org/officeDocument/2006/relationships/hyperlink" Target="https://www.diodes.com/part/view/MMBZ9V1CLA" TargetMode="External"/><Relationship Id="rId_hyperlink_1045" Type="http://schemas.openxmlformats.org/officeDocument/2006/relationships/hyperlink" Target="https://www.diodes.com/datasheet/download/ds46087.pdf" TargetMode="External"/><Relationship Id="rId_hyperlink_1046" Type="http://schemas.openxmlformats.org/officeDocument/2006/relationships/hyperlink" Target="https://www.diodes.com/part/view/MMBZ9V1CLAQ" TargetMode="External"/><Relationship Id="rId_hyperlink_1047" Type="http://schemas.openxmlformats.org/officeDocument/2006/relationships/hyperlink" Target="https://www.diodes.com/datasheet/download/SD03.pdf" TargetMode="External"/><Relationship Id="rId_hyperlink_1048" Type="http://schemas.openxmlformats.org/officeDocument/2006/relationships/hyperlink" Target="https://www.diodes.com/part/view/SD03" TargetMode="External"/><Relationship Id="rId_hyperlink_1049" Type="http://schemas.openxmlformats.org/officeDocument/2006/relationships/hyperlink" Target="https://www.diodes.com/datasheet/download/SD03C.pdf" TargetMode="External"/><Relationship Id="rId_hyperlink_1050" Type="http://schemas.openxmlformats.org/officeDocument/2006/relationships/hyperlink" Target="https://www.diodes.com/part/view/SD03C" TargetMode="External"/><Relationship Id="rId_hyperlink_1051" Type="http://schemas.openxmlformats.org/officeDocument/2006/relationships/hyperlink" Target="https://www.diodes.com/datasheet/download/SD03CQ.pdf" TargetMode="External"/><Relationship Id="rId_hyperlink_1052" Type="http://schemas.openxmlformats.org/officeDocument/2006/relationships/hyperlink" Target="https://www.diodes.com/part/view/SD03CQ" TargetMode="External"/><Relationship Id="rId_hyperlink_1053" Type="http://schemas.openxmlformats.org/officeDocument/2006/relationships/hyperlink" Target="https://www.diodes.com/datasheet/download/SD05A.pdf" TargetMode="External"/><Relationship Id="rId_hyperlink_1054" Type="http://schemas.openxmlformats.org/officeDocument/2006/relationships/hyperlink" Target="https://www.diodes.com/part/view/SD05A" TargetMode="External"/><Relationship Id="rId_hyperlink_1055" Type="http://schemas.openxmlformats.org/officeDocument/2006/relationships/hyperlink" Target="https://www.diodes.com/datasheet/download/SD05C.pdf" TargetMode="External"/><Relationship Id="rId_hyperlink_1056" Type="http://schemas.openxmlformats.org/officeDocument/2006/relationships/hyperlink" Target="https://www.diodes.com/part/view/SD05C" TargetMode="External"/><Relationship Id="rId_hyperlink_1057" Type="http://schemas.openxmlformats.org/officeDocument/2006/relationships/hyperlink" Target="https://www.diodes.com/datasheet/download/SD05CQ.pdf" TargetMode="External"/><Relationship Id="rId_hyperlink_1058" Type="http://schemas.openxmlformats.org/officeDocument/2006/relationships/hyperlink" Target="https://www.diodes.com/part/view/SD05CQ" TargetMode="External"/><Relationship Id="rId_hyperlink_1059" Type="http://schemas.openxmlformats.org/officeDocument/2006/relationships/hyperlink" Target="https://www.diodes.com/datasheet/download/SD09.pdf" TargetMode="External"/><Relationship Id="rId_hyperlink_1060" Type="http://schemas.openxmlformats.org/officeDocument/2006/relationships/hyperlink" Target="https://www.diodes.com/part/view/SD09" TargetMode="External"/><Relationship Id="rId_hyperlink_1061" Type="http://schemas.openxmlformats.org/officeDocument/2006/relationships/hyperlink" Target="https://www.diodes.com/datasheet/download/SD09C.pdf" TargetMode="External"/><Relationship Id="rId_hyperlink_1062" Type="http://schemas.openxmlformats.org/officeDocument/2006/relationships/hyperlink" Target="https://www.diodes.com/part/view/SD09C" TargetMode="External"/><Relationship Id="rId_hyperlink_1063" Type="http://schemas.openxmlformats.org/officeDocument/2006/relationships/hyperlink" Target="https://www.diodes.com/datasheet/download/SD09CQ.pdf" TargetMode="External"/><Relationship Id="rId_hyperlink_1064" Type="http://schemas.openxmlformats.org/officeDocument/2006/relationships/hyperlink" Target="https://www.diodes.com/part/view/SD09CQ" TargetMode="External"/><Relationship Id="rId_hyperlink_1065" Type="http://schemas.openxmlformats.org/officeDocument/2006/relationships/hyperlink" Target="https://www.diodes.com/datasheet/download/SD12.pdf" TargetMode="External"/><Relationship Id="rId_hyperlink_1066" Type="http://schemas.openxmlformats.org/officeDocument/2006/relationships/hyperlink" Target="https://www.diodes.com/part/view/SD12" TargetMode="External"/><Relationship Id="rId_hyperlink_1067" Type="http://schemas.openxmlformats.org/officeDocument/2006/relationships/hyperlink" Target="https://www.diodes.com/datasheet/download/SD12A.pdf" TargetMode="External"/><Relationship Id="rId_hyperlink_1068" Type="http://schemas.openxmlformats.org/officeDocument/2006/relationships/hyperlink" Target="https://www.diodes.com/part/view/SD12A" TargetMode="External"/><Relationship Id="rId_hyperlink_1069" Type="http://schemas.openxmlformats.org/officeDocument/2006/relationships/hyperlink" Target="https://www.diodes.com/datasheet/download/SD12C.pdf" TargetMode="External"/><Relationship Id="rId_hyperlink_1070" Type="http://schemas.openxmlformats.org/officeDocument/2006/relationships/hyperlink" Target="https://www.diodes.com/part/view/SD12C" TargetMode="External"/><Relationship Id="rId_hyperlink_1071" Type="http://schemas.openxmlformats.org/officeDocument/2006/relationships/hyperlink" Target="https://www.diodes.com/datasheet/download/SD12CQ.pdf" TargetMode="External"/><Relationship Id="rId_hyperlink_1072" Type="http://schemas.openxmlformats.org/officeDocument/2006/relationships/hyperlink" Target="https://www.diodes.com/part/view/SD12CQ" TargetMode="External"/><Relationship Id="rId_hyperlink_1073" Type="http://schemas.openxmlformats.org/officeDocument/2006/relationships/hyperlink" Target="https://www.diodes.com/datasheet/download/SD12Q.pdf" TargetMode="External"/><Relationship Id="rId_hyperlink_1074" Type="http://schemas.openxmlformats.org/officeDocument/2006/relationships/hyperlink" Target="https://www.diodes.com/part/view/SD12Q" TargetMode="External"/><Relationship Id="rId_hyperlink_1075" Type="http://schemas.openxmlformats.org/officeDocument/2006/relationships/hyperlink" Target="https://www.diodes.com/datasheet/download/SD15.pdf" TargetMode="External"/><Relationship Id="rId_hyperlink_1076" Type="http://schemas.openxmlformats.org/officeDocument/2006/relationships/hyperlink" Target="https://www.diodes.com/part/view/SD15" TargetMode="External"/><Relationship Id="rId_hyperlink_1077" Type="http://schemas.openxmlformats.org/officeDocument/2006/relationships/hyperlink" Target="https://www.diodes.com/datasheet/download/SD15C.pdf" TargetMode="External"/><Relationship Id="rId_hyperlink_1078" Type="http://schemas.openxmlformats.org/officeDocument/2006/relationships/hyperlink" Target="https://www.diodes.com/part/view/SD15C" TargetMode="External"/><Relationship Id="rId_hyperlink_1079" Type="http://schemas.openxmlformats.org/officeDocument/2006/relationships/hyperlink" Target="https://www.diodes.com/datasheet/download/SD15CQ.pdf" TargetMode="External"/><Relationship Id="rId_hyperlink_1080" Type="http://schemas.openxmlformats.org/officeDocument/2006/relationships/hyperlink" Target="https://www.diodes.com/part/view/SD15CQ" TargetMode="External"/><Relationship Id="rId_hyperlink_1081" Type="http://schemas.openxmlformats.org/officeDocument/2006/relationships/hyperlink" Target="https://www.diodes.com/datasheet/download/SD15Q.pdf" TargetMode="External"/><Relationship Id="rId_hyperlink_1082" Type="http://schemas.openxmlformats.org/officeDocument/2006/relationships/hyperlink" Target="https://www.diodes.com/part/view/SD15Q" TargetMode="External"/><Relationship Id="rId_hyperlink_1083" Type="http://schemas.openxmlformats.org/officeDocument/2006/relationships/hyperlink" Target="https://www.diodes.com/datasheet/download/SD18.pdf" TargetMode="External"/><Relationship Id="rId_hyperlink_1084" Type="http://schemas.openxmlformats.org/officeDocument/2006/relationships/hyperlink" Target="https://www.diodes.com/part/view/SD18" TargetMode="External"/><Relationship Id="rId_hyperlink_1085" Type="http://schemas.openxmlformats.org/officeDocument/2006/relationships/hyperlink" Target="https://www.diodes.com/datasheet/download/SD20.pdf" TargetMode="External"/><Relationship Id="rId_hyperlink_1086" Type="http://schemas.openxmlformats.org/officeDocument/2006/relationships/hyperlink" Target="https://www.diodes.com/part/view/SD20" TargetMode="External"/><Relationship Id="rId_hyperlink_1087" Type="http://schemas.openxmlformats.org/officeDocument/2006/relationships/hyperlink" Target="https://www.diodes.com/datasheet/download/SD20C.pdf" TargetMode="External"/><Relationship Id="rId_hyperlink_1088" Type="http://schemas.openxmlformats.org/officeDocument/2006/relationships/hyperlink" Target="https://www.diodes.com/part/view/SD20C" TargetMode="External"/><Relationship Id="rId_hyperlink_1089" Type="http://schemas.openxmlformats.org/officeDocument/2006/relationships/hyperlink" Target="https://www.diodes.com/datasheet/download/SD24.pdf" TargetMode="External"/><Relationship Id="rId_hyperlink_1090" Type="http://schemas.openxmlformats.org/officeDocument/2006/relationships/hyperlink" Target="https://www.diodes.com/part/view/SD24" TargetMode="External"/><Relationship Id="rId_hyperlink_1091" Type="http://schemas.openxmlformats.org/officeDocument/2006/relationships/hyperlink" Target="https://www.diodes.com/datasheet/download/SD24C.pdf" TargetMode="External"/><Relationship Id="rId_hyperlink_1092" Type="http://schemas.openxmlformats.org/officeDocument/2006/relationships/hyperlink" Target="https://www.diodes.com/part/view/SD24C" TargetMode="External"/><Relationship Id="rId_hyperlink_1093" Type="http://schemas.openxmlformats.org/officeDocument/2006/relationships/hyperlink" Target="https://www.diodes.com/datasheet/download/SD24CQ.pdf" TargetMode="External"/><Relationship Id="rId_hyperlink_1094" Type="http://schemas.openxmlformats.org/officeDocument/2006/relationships/hyperlink" Target="https://www.diodes.com/part/view/SD24CQ" TargetMode="External"/><Relationship Id="rId_hyperlink_1095" Type="http://schemas.openxmlformats.org/officeDocument/2006/relationships/hyperlink" Target="https://www.diodes.com/datasheet/download/SD24Q.pdf" TargetMode="External"/><Relationship Id="rId_hyperlink_1096" Type="http://schemas.openxmlformats.org/officeDocument/2006/relationships/hyperlink" Target="https://www.diodes.com/part/view/SD24Q" TargetMode="External"/><Relationship Id="rId_hyperlink_1097" Type="http://schemas.openxmlformats.org/officeDocument/2006/relationships/hyperlink" Target="https://www.diodes.com/datasheet/download/SD36.pdf" TargetMode="External"/><Relationship Id="rId_hyperlink_1098" Type="http://schemas.openxmlformats.org/officeDocument/2006/relationships/hyperlink" Target="https://www.diodes.com/part/view/SD36" TargetMode="External"/><Relationship Id="rId_hyperlink_1099" Type="http://schemas.openxmlformats.org/officeDocument/2006/relationships/hyperlink" Target="https://www.diodes.com/datasheet/download/SD36CQ.pdf" TargetMode="External"/><Relationship Id="rId_hyperlink_1100" Type="http://schemas.openxmlformats.org/officeDocument/2006/relationships/hyperlink" Target="https://www.diodes.com/part/view/SD36CQ" TargetMode="External"/><Relationship Id="rId_hyperlink_1101" Type="http://schemas.openxmlformats.org/officeDocument/2006/relationships/hyperlink" Target="https://www.diodes.com/datasheet/download/SDA004.pdf" TargetMode="External"/><Relationship Id="rId_hyperlink_1102" Type="http://schemas.openxmlformats.org/officeDocument/2006/relationships/hyperlink" Target="https://www.diodes.com/part/view/SDA004" TargetMode="External"/><Relationship Id="rId_hyperlink_1103" Type="http://schemas.openxmlformats.org/officeDocument/2006/relationships/hyperlink" Target="https://www.diodes.com/datasheet/download/SDA006.pdf" TargetMode="External"/><Relationship Id="rId_hyperlink_1104" Type="http://schemas.openxmlformats.org/officeDocument/2006/relationships/hyperlink" Target="https://www.diodes.com/part/view/SDA006" TargetMode="External"/><Relationship Id="rId_hyperlink_1105" Type="http://schemas.openxmlformats.org/officeDocument/2006/relationships/hyperlink" Target="https://www.diodes.com/datasheet/download/SM05.pdf" TargetMode="External"/><Relationship Id="rId_hyperlink_1106" Type="http://schemas.openxmlformats.org/officeDocument/2006/relationships/hyperlink" Target="https://www.diodes.com/part/view/SM05" TargetMode="External"/><Relationship Id="rId_hyperlink_1107" Type="http://schemas.openxmlformats.org/officeDocument/2006/relationships/hyperlink" Target="https://www.diodes.com/datasheet/download/SM12.pdf" TargetMode="External"/><Relationship Id="rId_hyperlink_1108" Type="http://schemas.openxmlformats.org/officeDocument/2006/relationships/hyperlink" Target="https://www.diodes.com/part/view/SM12" TargetMode="External"/><Relationship Id="rId_hyperlink_1109" Type="http://schemas.openxmlformats.org/officeDocument/2006/relationships/hyperlink" Target="https://www.diodes.com/datasheet/download/ds40740.pdf" TargetMode="External"/><Relationship Id="rId_hyperlink_1110" Type="http://schemas.openxmlformats.org/officeDocument/2006/relationships/hyperlink" Target="https://www.diodes.com/part/view/SMBJ43AQ" TargetMode="External"/><Relationship Id="rId_hyperlink_1111" Type="http://schemas.openxmlformats.org/officeDocument/2006/relationships/hyperlink" Target="https://www.diodes.com/datasheet/download/ds43393.pdf" TargetMode="External"/><Relationship Id="rId_hyperlink_1112" Type="http://schemas.openxmlformats.org/officeDocument/2006/relationships/hyperlink" Target="https://www.diodes.com/part/view/SMF4L3.3AQ" TargetMode="External"/><Relationship Id="rId_hyperlink_1113" Type="http://schemas.openxmlformats.org/officeDocument/2006/relationships/hyperlink" Target="https://www.diodes.com/datasheet/download/T3V3S5A_T5V0S5A_T6V0S5A_T12S5A.pdf" TargetMode="External"/><Relationship Id="rId_hyperlink_1114" Type="http://schemas.openxmlformats.org/officeDocument/2006/relationships/hyperlink" Target="https://www.diodes.com/part/view/T12S5A" TargetMode="External"/><Relationship Id="rId_hyperlink_1115" Type="http://schemas.openxmlformats.org/officeDocument/2006/relationships/hyperlink" Target="https://www.diodes.com/datasheet/download/ds45280.pdf" TargetMode="External"/><Relationship Id="rId_hyperlink_1116" Type="http://schemas.openxmlformats.org/officeDocument/2006/relationships/hyperlink" Target="https://www.diodes.com/part/view/T12S5AQ" TargetMode="External"/><Relationship Id="rId_hyperlink_1117" Type="http://schemas.openxmlformats.org/officeDocument/2006/relationships/hyperlink" Target="https://www.diodes.com/datasheet/download/T3V3S5A_T5V0S5A_T6V0S5A_T12S5A.pdf" TargetMode="External"/><Relationship Id="rId_hyperlink_1118" Type="http://schemas.openxmlformats.org/officeDocument/2006/relationships/hyperlink" Target="https://www.diodes.com/part/view/T3V3S5A" TargetMode="External"/><Relationship Id="rId_hyperlink_1119" Type="http://schemas.openxmlformats.org/officeDocument/2006/relationships/hyperlink" Target="https://www.diodes.com/datasheet/download/ds45280.pdf" TargetMode="External"/><Relationship Id="rId_hyperlink_1120" Type="http://schemas.openxmlformats.org/officeDocument/2006/relationships/hyperlink" Target="https://www.diodes.com/part/view/T3V3S5AQ" TargetMode="External"/><Relationship Id="rId_hyperlink_1121" Type="http://schemas.openxmlformats.org/officeDocument/2006/relationships/hyperlink" Target="https://www.diodes.com/datasheet/download/T5V0DLP.pdf" TargetMode="External"/><Relationship Id="rId_hyperlink_1122" Type="http://schemas.openxmlformats.org/officeDocument/2006/relationships/hyperlink" Target="https://www.diodes.com/part/view/T5V0DLP" TargetMode="External"/><Relationship Id="rId_hyperlink_1123" Type="http://schemas.openxmlformats.org/officeDocument/2006/relationships/hyperlink" Target="https://www.diodes.com/datasheet/download/T3V3S5A_T5V0S5A_T6V0S5A_T12S5A.pdf" TargetMode="External"/><Relationship Id="rId_hyperlink_1124" Type="http://schemas.openxmlformats.org/officeDocument/2006/relationships/hyperlink" Target="https://www.diodes.com/part/view/T5V0S5A" TargetMode="External"/><Relationship Id="rId_hyperlink_1125" Type="http://schemas.openxmlformats.org/officeDocument/2006/relationships/hyperlink" Target="https://www.diodes.com/datasheet/download/ds45280.pdf" TargetMode="External"/><Relationship Id="rId_hyperlink_1126" Type="http://schemas.openxmlformats.org/officeDocument/2006/relationships/hyperlink" Target="https://www.diodes.com/part/view/T5V0S5AQ" TargetMode="External"/><Relationship Id="rId_hyperlink_1127" Type="http://schemas.openxmlformats.org/officeDocument/2006/relationships/hyperlink" Target="https://www.diodes.com/datasheet/download/T3V3S5A_T5V0S5A_T6V0S5A_T12S5A.pdf" TargetMode="External"/><Relationship Id="rId_hyperlink_1128" Type="http://schemas.openxmlformats.org/officeDocument/2006/relationships/hyperlink" Target="https://www.diodes.com/part/view/T6V0S5A" TargetMode="External"/><Relationship Id="rId_hyperlink_1129" Type="http://schemas.openxmlformats.org/officeDocument/2006/relationships/hyperlink" Target="https://www.diodes.com/datasheet/download/ds45280.pdf" TargetMode="External"/><Relationship Id="rId_hyperlink_1130" Type="http://schemas.openxmlformats.org/officeDocument/2006/relationships/hyperlink" Target="https://www.diodes.com/part/view/T6V0S5AQ" TargetMode="External"/><Relationship Id="rId_hyperlink_1131" Type="http://schemas.openxmlformats.org/officeDocument/2006/relationships/hyperlink" Target="https://www.diodes.com/datasheet/download/TPD6V8LPN.pdf" TargetMode="External"/><Relationship Id="rId_hyperlink_1132" Type="http://schemas.openxmlformats.org/officeDocument/2006/relationships/hyperlink" Target="https://www.diodes.com/part/view/TPD6V8L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567"/>
  <sheetViews>
    <sheetView tabSelected="1" workbookViewId="0" showGridLines="true" showRowColHeaders="1">
      <pane xSplit="1" ySplit="1" activePane="bottomRight" state="frozen" topLeftCell="B2"/>
      <selection pane="bottomRight" activeCell="A1" sqref="A1"/>
    </sheetView>
  </sheetViews>
  <sheetFormatPr defaultRowHeight="14.4" outlineLevelRow="0" outlineLevelCol="0"/>
  <cols>
    <col min="1" max="1" width="12.92" customWidth="true" style="0"/>
    <col min="2" max="2" width="13.92" customWidth="true" style="0"/>
    <col min="3" max="3" width="11.92" customWidth="true" style="0"/>
    <col min="4" max="4" width="11.92" customWidth="true" style="0"/>
    <col min="5" max="5" width="11.92" customWidth="true" style="0"/>
    <col min="6" max="6" width="11.92" customWidth="true" style="0"/>
    <col min="7" max="7" width="11.92" customWidth="true" style="0"/>
    <col min="8" max="8" width="11.92" customWidth="true" style="0"/>
    <col min="9" max="9" width="11.92" customWidth="true" style="0"/>
    <col min="10" max="10" width="11.92" customWidth="true" style="0"/>
    <col min="11" max="11" width="11.92" customWidth="true" style="0"/>
    <col min="12" max="12" width="11.92" customWidth="true" style="0"/>
    <col min="13" max="13" width="11.92" customWidth="true" style="0"/>
    <col min="14" max="14" width="11.92" customWidth="true" style="0"/>
    <col min="15" max="15" width="11.92" customWidth="true" style="0"/>
    <col min="16" max="16" width="11.92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Compliance (Only Automotive Supports PPAP)</t>
          </r>
        </is>
      </c>
      <c r="F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AEC Qualified</t>
          </r>
        </is>
      </c>
      <c r="G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Channels</t>
          </r>
        </is>
      </c>
      <c r="H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Configuration</t>
          </r>
        </is>
      </c>
      <c r="I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Channel Input CapacitanceC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T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Typ (pF)</t>
          </r>
        </is>
      </c>
      <c r="J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Reverse Standoff Voltage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RWM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(V)</t>
          </r>
        </is>
      </c>
      <c r="K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Breakdown VoltageV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BR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Min(V)</t>
          </r>
        </is>
      </c>
      <c r="L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Typ Reverse Leakage Current I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@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RWM Max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(µA)</t>
          </r>
        </is>
      </c>
      <c r="M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Maximum Peak Pulse Current IPP @ 8x20μs Max</t>
          </r>
        </is>
      </c>
      <c r="N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Maximum Clamping Voltage @ Max Peak Pulse Current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C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 (V)</t>
          </r>
        </is>
      </c>
      <c r="O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VESD IEC61000-4-2 Contact Discharge(kV)</t>
          </r>
        </is>
      </c>
      <c r="P1" s="1" t="s">
        <v>15</v>
      </c>
    </row>
    <row r="2" spans="1:16">
      <c r="A2" t="s">
        <v>16</v>
      </c>
      <c r="B2" s="2" t="str">
        <f>Hyperlink("https://www.diodes.com/datasheet/download/D10V0H1U2LP.pdf")</f>
        <v>https://www.diodes.com/datasheet/download/D10V0H1U2LP.pdf</v>
      </c>
      <c r="C2" t="str">
        <f>Hyperlink("https://www.diodes.com/part/view/D10V0H1U2LP","D10V0H1U2LP")</f>
        <v>D10V0H1U2LP</v>
      </c>
      <c r="D2" t="s">
        <v>17</v>
      </c>
      <c r="E2" t="s">
        <v>18</v>
      </c>
      <c r="F2" t="s">
        <v>19</v>
      </c>
      <c r="G2">
        <v>1</v>
      </c>
      <c r="H2" t="s">
        <v>20</v>
      </c>
      <c r="I2">
        <v>100</v>
      </c>
      <c r="J2">
        <v>10</v>
      </c>
      <c r="K2">
        <v>11.5</v>
      </c>
      <c r="L2">
        <v>0.1</v>
      </c>
      <c r="M2">
        <v>15</v>
      </c>
      <c r="N2">
        <v>20</v>
      </c>
      <c r="O2" t="s">
        <v>21</v>
      </c>
      <c r="P2" t="s">
        <v>22</v>
      </c>
    </row>
    <row r="3" spans="1:16">
      <c r="A3" t="s">
        <v>23</v>
      </c>
      <c r="B3" s="2" t="str">
        <f>Hyperlink("https://www.diodes.com/datasheet/download/D7V5S1U3LP20-D48V0S1U3LP20.pdf")</f>
        <v>https://www.diodes.com/datasheet/download/D7V5S1U3LP20-D48V0S1U3LP20.pdf</v>
      </c>
      <c r="C3" t="str">
        <f>Hyperlink("https://www.diodes.com/part/view/D10V0S1U3LP20","D10V0S1U3LP20")</f>
        <v>D10V0S1U3LP20</v>
      </c>
      <c r="D3" t="s">
        <v>24</v>
      </c>
      <c r="E3" t="s">
        <v>18</v>
      </c>
      <c r="F3" t="s">
        <v>19</v>
      </c>
      <c r="G3">
        <v>1</v>
      </c>
      <c r="H3" t="s">
        <v>20</v>
      </c>
      <c r="I3">
        <v>1430</v>
      </c>
      <c r="J3">
        <v>10</v>
      </c>
      <c r="K3">
        <v>11.1</v>
      </c>
      <c r="M3">
        <v>200</v>
      </c>
      <c r="N3">
        <v>23.2</v>
      </c>
      <c r="O3" t="s">
        <v>21</v>
      </c>
      <c r="P3" t="s">
        <v>25</v>
      </c>
    </row>
    <row r="4" spans="1:16">
      <c r="A4" t="s">
        <v>26</v>
      </c>
      <c r="B4" s="2" t="str">
        <f>Hyperlink("https://www.diodes.com/datasheet/download/D10V0X1B2LP.pdf")</f>
        <v>https://www.diodes.com/datasheet/download/D10V0X1B2LP.pdf</v>
      </c>
      <c r="C4" t="str">
        <f>Hyperlink("https://www.diodes.com/part/view/D10V0X1B2LP","D10V0X1B2LP")</f>
        <v>D10V0X1B2LP</v>
      </c>
      <c r="D4" t="s">
        <v>27</v>
      </c>
      <c r="E4" t="s">
        <v>18</v>
      </c>
      <c r="F4" t="s">
        <v>19</v>
      </c>
      <c r="G4">
        <v>1</v>
      </c>
      <c r="H4" t="s">
        <v>28</v>
      </c>
      <c r="I4">
        <v>0.5</v>
      </c>
      <c r="J4">
        <v>10</v>
      </c>
      <c r="K4">
        <v>11.5</v>
      </c>
      <c r="M4">
        <v>4</v>
      </c>
      <c r="N4">
        <v>23</v>
      </c>
      <c r="O4" t="s">
        <v>29</v>
      </c>
      <c r="P4" t="s">
        <v>22</v>
      </c>
    </row>
    <row r="5" spans="1:16">
      <c r="A5" t="s">
        <v>30</v>
      </c>
      <c r="B5" s="2" t="str">
        <f>Hyperlink("https://www.diodes.com/datasheet/download/DS43178.pdf")</f>
        <v>https://www.diodes.com/datasheet/download/DS43178.pdf</v>
      </c>
      <c r="C5" t="str">
        <f>Hyperlink("https://www.diodes.com/part/view/D10V0X1B2LP4Q","D10V0X1B2LP4Q")</f>
        <v>D10V0X1B2LP4Q</v>
      </c>
      <c r="D5" t="s">
        <v>31</v>
      </c>
      <c r="E5" t="s">
        <v>32</v>
      </c>
      <c r="F5" t="s">
        <v>33</v>
      </c>
      <c r="G5">
        <v>1</v>
      </c>
      <c r="H5" t="s">
        <v>28</v>
      </c>
      <c r="I5">
        <v>0.5</v>
      </c>
      <c r="J5">
        <v>10</v>
      </c>
      <c r="K5">
        <v>11.5</v>
      </c>
      <c r="M5">
        <v>4</v>
      </c>
      <c r="N5">
        <v>23</v>
      </c>
      <c r="O5" t="s">
        <v>29</v>
      </c>
      <c r="P5" t="s">
        <v>34</v>
      </c>
    </row>
    <row r="6" spans="1:16">
      <c r="A6" t="s">
        <v>35</v>
      </c>
      <c r="B6" s="2" t="str">
        <f>Hyperlink("https://www.diodes.com/datasheet/download/D10V0X1B2LPQ.pdf")</f>
        <v>https://www.diodes.com/datasheet/download/D10V0X1B2LPQ.pdf</v>
      </c>
      <c r="C6" t="str">
        <f>Hyperlink("https://www.diodes.com/part/view/D10V0X1B2LPQ","D10V0X1B2LPQ")</f>
        <v>D10V0X1B2LPQ</v>
      </c>
      <c r="D6" t="s">
        <v>27</v>
      </c>
      <c r="E6" t="s">
        <v>32</v>
      </c>
      <c r="F6" t="s">
        <v>33</v>
      </c>
      <c r="G6">
        <v>1</v>
      </c>
      <c r="H6" t="s">
        <v>28</v>
      </c>
      <c r="I6">
        <v>0.51</v>
      </c>
      <c r="J6">
        <v>10</v>
      </c>
      <c r="K6">
        <v>11.5</v>
      </c>
      <c r="M6">
        <v>4</v>
      </c>
      <c r="N6">
        <v>20</v>
      </c>
      <c r="O6" t="s">
        <v>29</v>
      </c>
      <c r="P6" t="s">
        <v>22</v>
      </c>
    </row>
    <row r="7" spans="1:16">
      <c r="A7" t="s">
        <v>36</v>
      </c>
      <c r="B7" s="2" t="str">
        <f>Hyperlink("https://www.diodes.com/datasheet/download/D1213A-01LP.pdf")</f>
        <v>https://www.diodes.com/datasheet/download/D1213A-01LP.pdf</v>
      </c>
      <c r="C7" t="str">
        <f>Hyperlink("https://www.diodes.com/part/view/D1213A-01LP","D1213A-01LP")</f>
        <v>D1213A-01LP</v>
      </c>
      <c r="E7" t="s">
        <v>18</v>
      </c>
      <c r="F7" t="s">
        <v>33</v>
      </c>
      <c r="G7">
        <v>1</v>
      </c>
      <c r="H7" t="s">
        <v>20</v>
      </c>
      <c r="I7">
        <v>0.85</v>
      </c>
      <c r="J7">
        <v>3.3</v>
      </c>
      <c r="K7">
        <v>6</v>
      </c>
      <c r="L7">
        <v>0.1</v>
      </c>
      <c r="M7">
        <v>5</v>
      </c>
      <c r="O7" t="s">
        <v>37</v>
      </c>
      <c r="P7" t="s">
        <v>22</v>
      </c>
    </row>
    <row r="8" spans="1:16">
      <c r="A8" t="s">
        <v>38</v>
      </c>
      <c r="B8" s="2" t="str">
        <f>Hyperlink("https://www.diodes.com/datasheet/download/D1213A-01LP4.pdf")</f>
        <v>https://www.diodes.com/datasheet/download/D1213A-01LP4.pdf</v>
      </c>
      <c r="C8" t="str">
        <f>Hyperlink("https://www.diodes.com/part/view/D1213A-01LP4","D1213A-01LP4")</f>
        <v>D1213A-01LP4</v>
      </c>
      <c r="E8" t="s">
        <v>18</v>
      </c>
      <c r="F8" t="s">
        <v>33</v>
      </c>
      <c r="G8">
        <v>1</v>
      </c>
      <c r="H8" t="s">
        <v>20</v>
      </c>
      <c r="I8">
        <v>0.85</v>
      </c>
      <c r="J8">
        <v>3.3</v>
      </c>
      <c r="K8">
        <v>6</v>
      </c>
      <c r="L8">
        <v>0.1</v>
      </c>
      <c r="M8">
        <v>5</v>
      </c>
      <c r="O8" t="s">
        <v>37</v>
      </c>
      <c r="P8" t="s">
        <v>34</v>
      </c>
    </row>
    <row r="9" spans="1:16">
      <c r="A9" t="s">
        <v>39</v>
      </c>
      <c r="B9" s="2" t="str">
        <f>Hyperlink("https://www.diodes.com/datasheet/download/D1213A-01LPQ.pdf")</f>
        <v>https://www.diodes.com/datasheet/download/D1213A-01LPQ.pdf</v>
      </c>
      <c r="C9" t="str">
        <f>Hyperlink("https://www.diodes.com/part/view/D1213A-01LPQ","D1213A-01LPQ")</f>
        <v>D1213A-01LPQ</v>
      </c>
      <c r="D9" t="s">
        <v>40</v>
      </c>
      <c r="E9" t="s">
        <v>32</v>
      </c>
      <c r="F9" t="s">
        <v>33</v>
      </c>
      <c r="G9">
        <v>1</v>
      </c>
      <c r="H9" t="s">
        <v>20</v>
      </c>
      <c r="I9">
        <v>0.85</v>
      </c>
      <c r="J9">
        <v>3.3</v>
      </c>
      <c r="K9">
        <v>6</v>
      </c>
      <c r="L9">
        <v>0.1</v>
      </c>
      <c r="M9">
        <v>5</v>
      </c>
      <c r="O9" t="s">
        <v>37</v>
      </c>
      <c r="P9" t="s">
        <v>22</v>
      </c>
    </row>
    <row r="10" spans="1:16">
      <c r="A10" t="s">
        <v>41</v>
      </c>
      <c r="B10" s="2" t="str">
        <f>Hyperlink("https://www.diodes.com/datasheet/download/D1213A-01SO.pdf")</f>
        <v>https://www.diodes.com/datasheet/download/D1213A-01SO.pdf</v>
      </c>
      <c r="C10" t="str">
        <f>Hyperlink("https://www.diodes.com/part/view/D1213A-01SO","D1213A-01SO")</f>
        <v>D1213A-01SO</v>
      </c>
      <c r="E10" t="s">
        <v>18</v>
      </c>
      <c r="F10" t="s">
        <v>33</v>
      </c>
      <c r="G10">
        <v>1</v>
      </c>
      <c r="H10" t="s">
        <v>20</v>
      </c>
      <c r="I10">
        <v>0.85</v>
      </c>
      <c r="J10">
        <v>5.5</v>
      </c>
      <c r="K10">
        <v>6</v>
      </c>
      <c r="L10" t="s">
        <v>42</v>
      </c>
      <c r="M10">
        <v>5</v>
      </c>
      <c r="O10" t="s">
        <v>37</v>
      </c>
      <c r="P10" t="s">
        <v>43</v>
      </c>
    </row>
    <row r="11" spans="1:16">
      <c r="A11" t="s">
        <v>44</v>
      </c>
      <c r="B11" s="2" t="str">
        <f>Hyperlink("https://www.diodes.com/datasheet/download/D1213A-01T.pdf")</f>
        <v>https://www.diodes.com/datasheet/download/D1213A-01T.pdf</v>
      </c>
      <c r="C11" t="str">
        <f>Hyperlink("https://www.diodes.com/part/view/D1213A-01T","D1213A-01T")</f>
        <v>D1213A-01T</v>
      </c>
      <c r="E11" t="s">
        <v>18</v>
      </c>
      <c r="F11" t="s">
        <v>33</v>
      </c>
      <c r="G11">
        <v>1</v>
      </c>
      <c r="H11" t="s">
        <v>20</v>
      </c>
      <c r="I11">
        <v>0.85</v>
      </c>
      <c r="J11">
        <v>3.3</v>
      </c>
      <c r="K11">
        <v>6</v>
      </c>
      <c r="L11">
        <v>0.1</v>
      </c>
      <c r="M11">
        <v>5</v>
      </c>
      <c r="O11" t="s">
        <v>37</v>
      </c>
      <c r="P11" t="s">
        <v>45</v>
      </c>
    </row>
    <row r="12" spans="1:16">
      <c r="A12" t="s">
        <v>46</v>
      </c>
      <c r="B12" s="2" t="str">
        <f>Hyperlink("https://www.diodes.com/datasheet/download/D1213A-01W.pdf")</f>
        <v>https://www.diodes.com/datasheet/download/D1213A-01W.pdf</v>
      </c>
      <c r="C12" t="str">
        <f>Hyperlink("https://www.diodes.com/part/view/D1213A-01W","D1213A-01W")</f>
        <v>D1213A-01W</v>
      </c>
      <c r="D12" t="s">
        <v>47</v>
      </c>
      <c r="E12" t="s">
        <v>18</v>
      </c>
      <c r="F12" t="s">
        <v>33</v>
      </c>
      <c r="G12">
        <v>1</v>
      </c>
      <c r="H12" t="s">
        <v>20</v>
      </c>
      <c r="I12">
        <v>0.85</v>
      </c>
      <c r="J12">
        <v>5.5</v>
      </c>
      <c r="K12">
        <v>6</v>
      </c>
      <c r="L12" t="s">
        <v>42</v>
      </c>
      <c r="M12">
        <v>5</v>
      </c>
      <c r="O12" t="s">
        <v>37</v>
      </c>
      <c r="P12" t="s">
        <v>48</v>
      </c>
    </row>
    <row r="13" spans="1:16">
      <c r="A13" t="s">
        <v>49</v>
      </c>
      <c r="B13" s="2" t="str">
        <f>Hyperlink("https://www.diodes.com/datasheet/download/D1213A-01WQ.pdf")</f>
        <v>https://www.diodes.com/datasheet/download/D1213A-01WQ.pdf</v>
      </c>
      <c r="C13" t="str">
        <f>Hyperlink("https://www.diodes.com/part/view/D1213A-01WQ","D1213A-01WQ")</f>
        <v>D1213A-01WQ</v>
      </c>
      <c r="D13" t="s">
        <v>47</v>
      </c>
      <c r="E13" t="s">
        <v>32</v>
      </c>
      <c r="F13" t="s">
        <v>33</v>
      </c>
      <c r="G13">
        <v>1</v>
      </c>
      <c r="H13" t="s">
        <v>20</v>
      </c>
      <c r="I13">
        <v>0.85</v>
      </c>
      <c r="J13">
        <v>5.5</v>
      </c>
      <c r="K13">
        <v>6</v>
      </c>
      <c r="L13" t="s">
        <v>42</v>
      </c>
      <c r="M13">
        <v>5</v>
      </c>
      <c r="O13" t="s">
        <v>37</v>
      </c>
      <c r="P13" t="s">
        <v>48</v>
      </c>
    </row>
    <row r="14" spans="1:16">
      <c r="A14" t="s">
        <v>50</v>
      </c>
      <c r="B14" s="2" t="str">
        <f>Hyperlink("https://www.diodes.com/datasheet/download/D1213A-01WS.pdf")</f>
        <v>https://www.diodes.com/datasheet/download/D1213A-01WS.pdf</v>
      </c>
      <c r="C14" t="str">
        <f>Hyperlink("https://www.diodes.com/part/view/D1213A-01WS","D1213A-01WS")</f>
        <v>D1213A-01WS</v>
      </c>
      <c r="E14" t="s">
        <v>18</v>
      </c>
      <c r="F14" t="s">
        <v>33</v>
      </c>
      <c r="G14">
        <v>1</v>
      </c>
      <c r="H14" t="s">
        <v>20</v>
      </c>
      <c r="I14">
        <v>0.85</v>
      </c>
      <c r="J14">
        <v>3.3</v>
      </c>
      <c r="K14">
        <v>6</v>
      </c>
      <c r="L14">
        <v>0.1</v>
      </c>
      <c r="M14">
        <v>5</v>
      </c>
      <c r="O14" t="s">
        <v>37</v>
      </c>
      <c r="P14" t="s">
        <v>51</v>
      </c>
    </row>
    <row r="15" spans="1:16">
      <c r="A15" t="s">
        <v>52</v>
      </c>
      <c r="B15" s="2" t="str">
        <f>Hyperlink("https://www.diodes.com/datasheet/download/D1213A+01WSQ.pdf")</f>
        <v>https://www.diodes.com/datasheet/download/D1213A+01WSQ.pdf</v>
      </c>
      <c r="C15" t="str">
        <f>Hyperlink("https://www.diodes.com/part/view/D1213A-01WSQ","D1213A-01WSQ")</f>
        <v>D1213A-01WSQ</v>
      </c>
      <c r="D15" t="s">
        <v>53</v>
      </c>
      <c r="E15" t="s">
        <v>32</v>
      </c>
      <c r="F15" t="s">
        <v>33</v>
      </c>
      <c r="G15">
        <v>1</v>
      </c>
      <c r="H15" t="s">
        <v>20</v>
      </c>
      <c r="I15">
        <v>0.85</v>
      </c>
      <c r="J15">
        <v>3.3</v>
      </c>
      <c r="K15">
        <v>6</v>
      </c>
      <c r="L15">
        <v>0.1</v>
      </c>
      <c r="M15">
        <v>5</v>
      </c>
      <c r="O15" t="s">
        <v>54</v>
      </c>
      <c r="P15" t="s">
        <v>51</v>
      </c>
    </row>
    <row r="16" spans="1:16">
      <c r="A16" t="s">
        <v>55</v>
      </c>
      <c r="B16" s="2" t="str">
        <f>Hyperlink("https://www.diodes.com/datasheet/download/D1213A-02S.pdf")</f>
        <v>https://www.diodes.com/datasheet/download/D1213A-02S.pdf</v>
      </c>
      <c r="C16" t="str">
        <f>Hyperlink("https://www.diodes.com/part/view/D1213A-02S","D1213A-02S")</f>
        <v>D1213A-02S</v>
      </c>
      <c r="E16" t="s">
        <v>18</v>
      </c>
      <c r="F16" t="s">
        <v>33</v>
      </c>
      <c r="G16">
        <v>2</v>
      </c>
      <c r="H16" t="s">
        <v>56</v>
      </c>
      <c r="I16">
        <v>0.85</v>
      </c>
      <c r="J16">
        <v>5.5</v>
      </c>
      <c r="K16">
        <v>6</v>
      </c>
      <c r="L16" t="s">
        <v>42</v>
      </c>
      <c r="M16">
        <v>5</v>
      </c>
      <c r="O16" t="s">
        <v>37</v>
      </c>
      <c r="P16" t="s">
        <v>57</v>
      </c>
    </row>
    <row r="17" spans="1:16">
      <c r="A17" t="s">
        <v>58</v>
      </c>
      <c r="B17" s="2" t="str">
        <f>Hyperlink("https://www.diodes.com/datasheet/download/D1213A-02SM.pdf")</f>
        <v>https://www.diodes.com/datasheet/download/D1213A-02SM.pdf</v>
      </c>
      <c r="C17" t="str">
        <f>Hyperlink("https://www.diodes.com/part/view/D1213A-02SM","D1213A-02SM")</f>
        <v>D1213A-02SM</v>
      </c>
      <c r="E17" t="s">
        <v>18</v>
      </c>
      <c r="F17" t="s">
        <v>33</v>
      </c>
      <c r="G17">
        <v>2</v>
      </c>
      <c r="H17" t="s">
        <v>56</v>
      </c>
      <c r="I17">
        <v>0.85</v>
      </c>
      <c r="J17">
        <v>5.5</v>
      </c>
      <c r="K17">
        <v>6</v>
      </c>
      <c r="L17" t="s">
        <v>42</v>
      </c>
      <c r="M17">
        <v>5</v>
      </c>
      <c r="O17" t="s">
        <v>37</v>
      </c>
      <c r="P17" t="s">
        <v>59</v>
      </c>
    </row>
    <row r="18" spans="1:16">
      <c r="A18" t="s">
        <v>60</v>
      </c>
      <c r="B18" s="2" t="str">
        <f>Hyperlink("https://www.diodes.com/datasheet/download/D1213A-02SO.pdf")</f>
        <v>https://www.diodes.com/datasheet/download/D1213A-02SO.pdf</v>
      </c>
      <c r="C18" t="str">
        <f>Hyperlink("https://www.diodes.com/part/view/D1213A-02SO","D1213A-02SO")</f>
        <v>D1213A-02SO</v>
      </c>
      <c r="E18" t="s">
        <v>18</v>
      </c>
      <c r="F18" t="s">
        <v>33</v>
      </c>
      <c r="G18">
        <v>2</v>
      </c>
      <c r="H18" t="s">
        <v>56</v>
      </c>
      <c r="I18">
        <v>0.85</v>
      </c>
      <c r="J18">
        <v>5.5</v>
      </c>
      <c r="K18">
        <v>6</v>
      </c>
      <c r="L18" t="s">
        <v>42</v>
      </c>
      <c r="M18">
        <v>5</v>
      </c>
      <c r="O18" t="s">
        <v>37</v>
      </c>
      <c r="P18" t="s">
        <v>61</v>
      </c>
    </row>
    <row r="19" spans="1:16">
      <c r="A19" t="s">
        <v>62</v>
      </c>
      <c r="B19" s="2" t="str">
        <f>Hyperlink("https://www.diodes.com/datasheet/download/D1213A-02SOL.pdf")</f>
        <v>https://www.diodes.com/datasheet/download/D1213A-02SOL.pdf</v>
      </c>
      <c r="C19" t="str">
        <f>Hyperlink("https://www.diodes.com/part/view/D1213A-02SOL","D1213A-02SOL")</f>
        <v>D1213A-02SOL</v>
      </c>
      <c r="E19" t="s">
        <v>18</v>
      </c>
      <c r="F19" t="s">
        <v>33</v>
      </c>
      <c r="G19">
        <v>2</v>
      </c>
      <c r="H19" t="s">
        <v>56</v>
      </c>
      <c r="I19">
        <v>0.85</v>
      </c>
      <c r="J19">
        <v>3.3</v>
      </c>
      <c r="K19">
        <v>6</v>
      </c>
      <c r="L19">
        <v>0.1</v>
      </c>
      <c r="M19">
        <v>5</v>
      </c>
      <c r="O19" t="s">
        <v>37</v>
      </c>
      <c r="P19" t="s">
        <v>43</v>
      </c>
    </row>
    <row r="20" spans="1:16">
      <c r="A20" t="s">
        <v>63</v>
      </c>
      <c r="B20" s="2" t="str">
        <f>Hyperlink("https://www.diodes.com/datasheet/download/D1213A-02SOLQ.pdf")</f>
        <v>https://www.diodes.com/datasheet/download/D1213A-02SOLQ.pdf</v>
      </c>
      <c r="C20" t="str">
        <f>Hyperlink("https://www.diodes.com/part/view/D1213A-02SOLQ","D1213A-02SOLQ")</f>
        <v>D1213A-02SOLQ</v>
      </c>
      <c r="D20" t="s">
        <v>64</v>
      </c>
      <c r="E20" t="s">
        <v>32</v>
      </c>
      <c r="F20" t="s">
        <v>33</v>
      </c>
      <c r="G20">
        <v>2</v>
      </c>
      <c r="H20" t="s">
        <v>56</v>
      </c>
      <c r="I20">
        <v>0.85</v>
      </c>
      <c r="J20">
        <v>3.3</v>
      </c>
      <c r="K20">
        <v>6</v>
      </c>
      <c r="L20">
        <v>0.001</v>
      </c>
      <c r="M20">
        <v>5</v>
      </c>
      <c r="O20" t="s">
        <v>37</v>
      </c>
      <c r="P20" t="s">
        <v>43</v>
      </c>
    </row>
    <row r="21" spans="1:16">
      <c r="A21" t="s">
        <v>65</v>
      </c>
      <c r="B21" s="2" t="str">
        <f>Hyperlink("https://www.diodes.com/datasheet/download/D1213A-02SR.pdf")</f>
        <v>https://www.diodes.com/datasheet/download/D1213A-02SR.pdf</v>
      </c>
      <c r="C21" t="str">
        <f>Hyperlink("https://www.diodes.com/part/view/D1213A-02SR","D1213A-02SR")</f>
        <v>D1213A-02SR</v>
      </c>
      <c r="E21" t="s">
        <v>18</v>
      </c>
      <c r="F21" t="s">
        <v>33</v>
      </c>
      <c r="G21">
        <v>2</v>
      </c>
      <c r="H21" t="s">
        <v>56</v>
      </c>
      <c r="I21">
        <v>0.85</v>
      </c>
      <c r="J21">
        <v>5.5</v>
      </c>
      <c r="K21">
        <v>6</v>
      </c>
      <c r="L21" t="s">
        <v>42</v>
      </c>
      <c r="M21">
        <v>5</v>
      </c>
      <c r="O21" t="s">
        <v>37</v>
      </c>
      <c r="P21" t="s">
        <v>66</v>
      </c>
    </row>
    <row r="22" spans="1:16">
      <c r="A22" t="s">
        <v>67</v>
      </c>
      <c r="B22" s="2" t="str">
        <f>Hyperlink("https://www.diodes.com/datasheet/download/D1213A-02WL.pdf")</f>
        <v>https://www.diodes.com/datasheet/download/D1213A-02WL.pdf</v>
      </c>
      <c r="C22" t="str">
        <f>Hyperlink("https://www.diodes.com/part/view/D1213A-02WL","D1213A-02WL")</f>
        <v>D1213A-02WL</v>
      </c>
      <c r="E22" t="s">
        <v>18</v>
      </c>
      <c r="F22" t="s">
        <v>33</v>
      </c>
      <c r="G22">
        <v>2</v>
      </c>
      <c r="H22" t="s">
        <v>56</v>
      </c>
      <c r="I22">
        <v>0.85</v>
      </c>
      <c r="J22">
        <v>3.3</v>
      </c>
      <c r="K22">
        <v>6</v>
      </c>
      <c r="L22">
        <v>0.1</v>
      </c>
      <c r="M22">
        <v>5</v>
      </c>
      <c r="O22" t="s">
        <v>37</v>
      </c>
      <c r="P22" t="s">
        <v>48</v>
      </c>
    </row>
    <row r="23" spans="1:16">
      <c r="A23" t="s">
        <v>68</v>
      </c>
      <c r="B23" s="2" t="str">
        <f>Hyperlink("https://www.diodes.com/datasheet/download/D1213A-02WLQ.pdf")</f>
        <v>https://www.diodes.com/datasheet/download/D1213A-02WLQ.pdf</v>
      </c>
      <c r="C23" t="str">
        <f>Hyperlink("https://www.diodes.com/part/view/D1213A-02WLQ","D1213A-02WLQ")</f>
        <v>D1213A-02WLQ</v>
      </c>
      <c r="D23" t="s">
        <v>64</v>
      </c>
      <c r="E23" t="s">
        <v>32</v>
      </c>
      <c r="F23" t="s">
        <v>33</v>
      </c>
      <c r="G23">
        <v>2</v>
      </c>
      <c r="H23" t="s">
        <v>56</v>
      </c>
      <c r="I23">
        <v>0.85</v>
      </c>
      <c r="J23">
        <v>5.5</v>
      </c>
      <c r="K23">
        <v>6</v>
      </c>
      <c r="L23">
        <v>0.1</v>
      </c>
      <c r="M23">
        <v>5</v>
      </c>
      <c r="O23" t="s">
        <v>54</v>
      </c>
      <c r="P23" t="s">
        <v>48</v>
      </c>
    </row>
    <row r="24" spans="1:16">
      <c r="A24" t="s">
        <v>69</v>
      </c>
      <c r="B24" s="2" t="str">
        <f>Hyperlink("https://www.diodes.com/datasheet/download/D1213A-04MR.pdf")</f>
        <v>https://www.diodes.com/datasheet/download/D1213A-04MR.pdf</v>
      </c>
      <c r="C24" t="str">
        <f>Hyperlink("https://www.diodes.com/part/view/D1213A-04MR","D1213A-04MR")</f>
        <v>D1213A-04MR</v>
      </c>
      <c r="E24" t="s">
        <v>18</v>
      </c>
      <c r="F24" t="s">
        <v>33</v>
      </c>
      <c r="G24">
        <v>4</v>
      </c>
      <c r="H24" t="s">
        <v>70</v>
      </c>
      <c r="I24">
        <v>0.85</v>
      </c>
      <c r="J24">
        <v>5.5</v>
      </c>
      <c r="K24">
        <v>6</v>
      </c>
      <c r="L24">
        <v>0.1</v>
      </c>
      <c r="M24">
        <v>5</v>
      </c>
      <c r="O24" t="s">
        <v>37</v>
      </c>
      <c r="P24" t="s">
        <v>71</v>
      </c>
    </row>
    <row r="25" spans="1:16">
      <c r="A25" t="s">
        <v>72</v>
      </c>
      <c r="B25" s="2" t="str">
        <f>Hyperlink("https://www.diodes.com/datasheet/download/D1213A-04S.pdf")</f>
        <v>https://www.diodes.com/datasheet/download/D1213A-04S.pdf</v>
      </c>
      <c r="C25" t="str">
        <f>Hyperlink("https://www.diodes.com/part/view/D1213A-04S","D1213A-04S")</f>
        <v>D1213A-04S</v>
      </c>
      <c r="D25" t="s">
        <v>73</v>
      </c>
      <c r="E25" t="s">
        <v>18</v>
      </c>
      <c r="F25" t="s">
        <v>33</v>
      </c>
      <c r="G25">
        <v>4</v>
      </c>
      <c r="H25" t="s">
        <v>70</v>
      </c>
      <c r="I25">
        <v>0.85</v>
      </c>
      <c r="J25">
        <v>5.5</v>
      </c>
      <c r="K25">
        <v>6</v>
      </c>
      <c r="L25">
        <v>0.1</v>
      </c>
      <c r="M25">
        <v>5</v>
      </c>
      <c r="O25" t="s">
        <v>37</v>
      </c>
      <c r="P25" t="s">
        <v>74</v>
      </c>
    </row>
    <row r="26" spans="1:16">
      <c r="A26" t="s">
        <v>75</v>
      </c>
      <c r="B26" s="2" t="str">
        <f>Hyperlink("https://www.diodes.com/datasheet/download/D1213A-04SO.pdf")</f>
        <v>https://www.diodes.com/datasheet/download/D1213A-04SO.pdf</v>
      </c>
      <c r="C26" t="str">
        <f>Hyperlink("https://www.diodes.com/part/view/D1213A-04SO","D1213A-04SO")</f>
        <v>D1213A-04SO</v>
      </c>
      <c r="E26" t="s">
        <v>18</v>
      </c>
      <c r="F26" t="s">
        <v>33</v>
      </c>
      <c r="G26">
        <v>4</v>
      </c>
      <c r="H26" t="s">
        <v>70</v>
      </c>
      <c r="I26">
        <v>0.85</v>
      </c>
      <c r="J26">
        <v>5.5</v>
      </c>
      <c r="K26">
        <v>6</v>
      </c>
      <c r="L26">
        <v>0.1</v>
      </c>
      <c r="M26">
        <v>5</v>
      </c>
      <c r="O26" t="s">
        <v>37</v>
      </c>
      <c r="P26" t="s">
        <v>61</v>
      </c>
    </row>
    <row r="27" spans="1:16">
      <c r="A27" t="s">
        <v>76</v>
      </c>
      <c r="B27" s="2" t="str">
        <f>Hyperlink("https://www.diodes.com/datasheet/download/D1213A-04TS.pdf")</f>
        <v>https://www.diodes.com/datasheet/download/D1213A-04TS.pdf</v>
      </c>
      <c r="C27" t="str">
        <f>Hyperlink("https://www.diodes.com/part/view/D1213A-04TS","D1213A-04TS")</f>
        <v>D1213A-04TS</v>
      </c>
      <c r="E27" t="s">
        <v>18</v>
      </c>
      <c r="F27" t="s">
        <v>33</v>
      </c>
      <c r="G27">
        <v>4</v>
      </c>
      <c r="H27" t="s">
        <v>70</v>
      </c>
      <c r="I27">
        <v>0.85</v>
      </c>
      <c r="J27">
        <v>5.5</v>
      </c>
      <c r="K27">
        <v>6</v>
      </c>
      <c r="L27">
        <v>0.1</v>
      </c>
      <c r="M27">
        <v>5</v>
      </c>
      <c r="O27" t="s">
        <v>37</v>
      </c>
      <c r="P27" t="s">
        <v>77</v>
      </c>
    </row>
    <row r="28" spans="1:16">
      <c r="A28" t="s">
        <v>78</v>
      </c>
      <c r="B28" s="2" t="str">
        <f>Hyperlink("https://www.diodes.com/datasheet/download/D1213A-04TSQ.pdf")</f>
        <v>https://www.diodes.com/datasheet/download/D1213A-04TSQ.pdf</v>
      </c>
      <c r="C28" t="str">
        <f>Hyperlink("https://www.diodes.com/part/view/D1213A-04TSQ","D1213A-04TSQ")</f>
        <v>D1213A-04TSQ</v>
      </c>
      <c r="D28" t="s">
        <v>79</v>
      </c>
      <c r="E28" t="s">
        <v>32</v>
      </c>
      <c r="F28" t="s">
        <v>33</v>
      </c>
      <c r="G28">
        <v>4</v>
      </c>
      <c r="H28" t="s">
        <v>70</v>
      </c>
      <c r="I28">
        <v>0.85</v>
      </c>
      <c r="J28">
        <v>5.5</v>
      </c>
      <c r="K28">
        <v>6</v>
      </c>
      <c r="L28">
        <v>0.1</v>
      </c>
      <c r="M28">
        <v>5</v>
      </c>
      <c r="O28" t="s">
        <v>54</v>
      </c>
      <c r="P28" t="s">
        <v>77</v>
      </c>
    </row>
    <row r="29" spans="1:16">
      <c r="A29" t="s">
        <v>80</v>
      </c>
      <c r="B29" s="2" t="str">
        <f>Hyperlink("https://www.diodes.com/datasheet/download/D1213A-04V.pdf")</f>
        <v>https://www.diodes.com/datasheet/download/D1213A-04V.pdf</v>
      </c>
      <c r="C29" t="str">
        <f>Hyperlink("https://www.diodes.com/part/view/D1213A-04V","D1213A-04V")</f>
        <v>D1213A-04V</v>
      </c>
      <c r="E29" t="s">
        <v>18</v>
      </c>
      <c r="F29" t="s">
        <v>33</v>
      </c>
      <c r="G29">
        <v>4</v>
      </c>
      <c r="H29" t="s">
        <v>70</v>
      </c>
      <c r="I29">
        <v>0.85</v>
      </c>
      <c r="J29">
        <v>5.5</v>
      </c>
      <c r="K29">
        <v>6</v>
      </c>
      <c r="L29">
        <v>0.1</v>
      </c>
      <c r="M29">
        <v>5</v>
      </c>
      <c r="O29" t="s">
        <v>37</v>
      </c>
      <c r="P29" t="s">
        <v>81</v>
      </c>
    </row>
    <row r="30" spans="1:16">
      <c r="A30" t="s">
        <v>82</v>
      </c>
      <c r="B30" s="2" t="str">
        <f>Hyperlink("https://www.diodes.com/datasheet/download/D1213A-04VQ.pdf")</f>
        <v>https://www.diodes.com/datasheet/download/D1213A-04VQ.pdf</v>
      </c>
      <c r="C30" t="str">
        <f>Hyperlink("https://www.diodes.com/part/view/D1213A-04VQ","D1213A-04VQ")</f>
        <v>D1213A-04VQ</v>
      </c>
      <c r="D30" t="s">
        <v>83</v>
      </c>
      <c r="E30" t="s">
        <v>32</v>
      </c>
      <c r="F30" t="s">
        <v>33</v>
      </c>
      <c r="G30">
        <v>4</v>
      </c>
      <c r="H30" t="s">
        <v>70</v>
      </c>
      <c r="I30">
        <v>0.85</v>
      </c>
      <c r="J30">
        <v>5.5</v>
      </c>
      <c r="K30">
        <v>6</v>
      </c>
      <c r="L30">
        <v>0.1</v>
      </c>
      <c r="M30">
        <v>5</v>
      </c>
      <c r="O30" t="s">
        <v>54</v>
      </c>
      <c r="P30" t="s">
        <v>81</v>
      </c>
    </row>
    <row r="31" spans="1:16">
      <c r="A31" t="s">
        <v>84</v>
      </c>
      <c r="B31" s="2" t="str">
        <f>Hyperlink("https://www.diodes.com/datasheet/download/D12V0H1U2LP.pdf")</f>
        <v>https://www.diodes.com/datasheet/download/D12V0H1U2LP.pdf</v>
      </c>
      <c r="C31" t="str">
        <f>Hyperlink("https://www.diodes.com/part/view/D12V0H1U2LP","D12V0H1U2LP")</f>
        <v>D12V0H1U2LP</v>
      </c>
      <c r="E31" t="s">
        <v>18</v>
      </c>
      <c r="F31" t="s">
        <v>19</v>
      </c>
      <c r="G31">
        <v>1</v>
      </c>
      <c r="H31" t="s">
        <v>20</v>
      </c>
      <c r="I31">
        <v>80</v>
      </c>
      <c r="J31">
        <v>12</v>
      </c>
      <c r="K31">
        <v>13.3</v>
      </c>
      <c r="L31">
        <v>0.002</v>
      </c>
      <c r="M31">
        <v>13</v>
      </c>
      <c r="N31">
        <v>23</v>
      </c>
      <c r="O31" t="s">
        <v>21</v>
      </c>
      <c r="P31" t="s">
        <v>22</v>
      </c>
    </row>
    <row r="32" spans="1:16">
      <c r="A32" t="s">
        <v>85</v>
      </c>
      <c r="B32" s="2" t="str">
        <f>Hyperlink("https://www.diodes.com/datasheet/download/D12V0H1U2LP1610.pdf")</f>
        <v>https://www.diodes.com/datasheet/download/D12V0H1U2LP1610.pdf</v>
      </c>
      <c r="C32" t="str">
        <f>Hyperlink("https://www.diodes.com/part/view/D12V0H1U2LP1610","D12V0H1U2LP1610")</f>
        <v>D12V0H1U2LP1610</v>
      </c>
      <c r="D32" t="s">
        <v>86</v>
      </c>
      <c r="E32" t="s">
        <v>18</v>
      </c>
      <c r="F32" t="s">
        <v>19</v>
      </c>
      <c r="G32">
        <v>1</v>
      </c>
      <c r="H32" t="s">
        <v>20</v>
      </c>
      <c r="I32">
        <v>350</v>
      </c>
      <c r="J32">
        <v>12</v>
      </c>
      <c r="K32">
        <v>13</v>
      </c>
      <c r="M32">
        <v>50</v>
      </c>
      <c r="N32">
        <v>20</v>
      </c>
      <c r="O32" t="s">
        <v>21</v>
      </c>
      <c r="P32" t="s">
        <v>87</v>
      </c>
    </row>
    <row r="33" spans="1:16">
      <c r="A33" t="s">
        <v>88</v>
      </c>
      <c r="B33" s="2" t="str">
        <f>Hyperlink("https://www.diodes.com/datasheet/download/D12V0H1U2WS.pdf")</f>
        <v>https://www.diodes.com/datasheet/download/D12V0H1U2WS.pdf</v>
      </c>
      <c r="C33" t="str">
        <f>Hyperlink("https://www.diodes.com/part/view/D12V0H1U2WS","D12V0H1U2WS")</f>
        <v>D12V0H1U2WS</v>
      </c>
      <c r="E33" t="s">
        <v>18</v>
      </c>
      <c r="F33" t="s">
        <v>19</v>
      </c>
      <c r="G33">
        <v>1</v>
      </c>
      <c r="H33" t="s">
        <v>20</v>
      </c>
      <c r="I33">
        <v>180</v>
      </c>
      <c r="J33">
        <v>12</v>
      </c>
      <c r="K33">
        <v>13.3</v>
      </c>
      <c r="L33">
        <v>0.01</v>
      </c>
      <c r="M33">
        <v>25</v>
      </c>
      <c r="N33">
        <v>24</v>
      </c>
      <c r="O33" t="s">
        <v>21</v>
      </c>
      <c r="P33" t="s">
        <v>51</v>
      </c>
    </row>
    <row r="34" spans="1:16">
      <c r="A34" t="s">
        <v>89</v>
      </c>
      <c r="B34" s="2" t="str">
        <f>Hyperlink("https://www.diodes.com/datasheet/download/D12V0H1U2WSQ.pdf")</f>
        <v>https://www.diodes.com/datasheet/download/D12V0H1U2WSQ.pdf</v>
      </c>
      <c r="C34" t="str">
        <f>Hyperlink("https://www.diodes.com/part/view/D12V0H1U2WSQ","D12V0H1U2WSQ")</f>
        <v>D12V0H1U2WSQ</v>
      </c>
      <c r="D34" t="s">
        <v>17</v>
      </c>
      <c r="E34" t="s">
        <v>32</v>
      </c>
      <c r="F34" t="s">
        <v>33</v>
      </c>
      <c r="G34">
        <v>1</v>
      </c>
      <c r="H34" t="s">
        <v>20</v>
      </c>
      <c r="I34">
        <v>180</v>
      </c>
      <c r="J34">
        <v>12</v>
      </c>
      <c r="K34">
        <v>13.3</v>
      </c>
      <c r="L34">
        <v>0.01</v>
      </c>
      <c r="M34">
        <v>25</v>
      </c>
      <c r="N34">
        <v>24</v>
      </c>
      <c r="O34" t="s">
        <v>21</v>
      </c>
      <c r="P34" t="s">
        <v>51</v>
      </c>
    </row>
    <row r="35" spans="1:16">
      <c r="A35" t="s">
        <v>90</v>
      </c>
      <c r="B35" s="2" t="str">
        <f>Hyperlink("https://www.diodes.com/datasheet/download/D12V0H2U3SO.pdf")</f>
        <v>https://www.diodes.com/datasheet/download/D12V0H2U3SO.pdf</v>
      </c>
      <c r="C35" t="str">
        <f>Hyperlink("https://www.diodes.com/part/view/D12V0H2U3SO","D12V0H2U3SO")</f>
        <v>D12V0H2U3SO</v>
      </c>
      <c r="D35" t="s">
        <v>91</v>
      </c>
      <c r="E35" t="s">
        <v>18</v>
      </c>
      <c r="F35" t="s">
        <v>19</v>
      </c>
      <c r="G35">
        <v>2</v>
      </c>
      <c r="H35" t="s">
        <v>56</v>
      </c>
      <c r="I35">
        <v>78</v>
      </c>
      <c r="J35">
        <v>12</v>
      </c>
      <c r="K35">
        <v>14.2</v>
      </c>
      <c r="M35">
        <v>12</v>
      </c>
      <c r="N35">
        <v>25</v>
      </c>
      <c r="O35" t="s">
        <v>37</v>
      </c>
      <c r="P35" t="s">
        <v>43</v>
      </c>
    </row>
    <row r="36" spans="1:16">
      <c r="A36" t="s">
        <v>92</v>
      </c>
      <c r="B36" s="2" t="str">
        <f>Hyperlink("https://www.diodes.com/datasheet/download/D12V0HA1U2LP.pdf")</f>
        <v>https://www.diodes.com/datasheet/download/D12V0HA1U2LP.pdf</v>
      </c>
      <c r="C36" t="str">
        <f>Hyperlink("https://www.diodes.com/part/view/D12V0HA1U2LP","D12V0HA1U2LP")</f>
        <v>D12V0HA1U2LP</v>
      </c>
      <c r="D36" t="s">
        <v>17</v>
      </c>
      <c r="E36" t="s">
        <v>18</v>
      </c>
      <c r="F36" t="s">
        <v>19</v>
      </c>
      <c r="G36">
        <v>1</v>
      </c>
      <c r="H36" t="s">
        <v>20</v>
      </c>
      <c r="I36">
        <v>110</v>
      </c>
      <c r="J36">
        <v>12</v>
      </c>
      <c r="K36">
        <v>13.5</v>
      </c>
      <c r="L36">
        <v>0.02</v>
      </c>
      <c r="M36">
        <v>25</v>
      </c>
      <c r="O36" t="s">
        <v>21</v>
      </c>
      <c r="P36" t="s">
        <v>22</v>
      </c>
    </row>
    <row r="37" spans="1:16">
      <c r="A37" t="s">
        <v>93</v>
      </c>
      <c r="B37" s="2" t="str">
        <f>Hyperlink("https://www.diodes.com/datasheet/download/D12V0HA1U2LPQ.pdf")</f>
        <v>https://www.diodes.com/datasheet/download/D12V0HA1U2LPQ.pdf</v>
      </c>
      <c r="C37" t="str">
        <f>Hyperlink("https://www.diodes.com/part/view/D12V0HA1U2LPQ","D12V0HA1U2LPQ")</f>
        <v>D12V0HA1U2LPQ</v>
      </c>
      <c r="D37" t="s">
        <v>17</v>
      </c>
      <c r="E37" t="s">
        <v>32</v>
      </c>
      <c r="F37" t="s">
        <v>33</v>
      </c>
      <c r="G37">
        <v>1</v>
      </c>
      <c r="H37" t="s">
        <v>20</v>
      </c>
      <c r="I37">
        <v>110</v>
      </c>
      <c r="J37">
        <v>12</v>
      </c>
      <c r="K37">
        <v>13.5</v>
      </c>
      <c r="L37">
        <v>0.02</v>
      </c>
      <c r="M37">
        <v>25</v>
      </c>
      <c r="O37" t="s">
        <v>21</v>
      </c>
      <c r="P37" t="s">
        <v>22</v>
      </c>
    </row>
    <row r="38" spans="1:16">
      <c r="A38" t="s">
        <v>94</v>
      </c>
      <c r="B38" s="2" t="str">
        <f>Hyperlink("https://www.diodes.com/datasheet/download/D12V0HA1U2SLP.pdf")</f>
        <v>https://www.diodes.com/datasheet/download/D12V0HA1U2SLP.pdf</v>
      </c>
      <c r="C38" t="str">
        <f>Hyperlink("https://www.diodes.com/part/view/D12V0HA1U2SLP","D12V0HA1U2SLP")</f>
        <v>D12V0HA1U2SLP</v>
      </c>
      <c r="D38" t="s">
        <v>95</v>
      </c>
      <c r="E38" t="s">
        <v>18</v>
      </c>
      <c r="F38" t="s">
        <v>19</v>
      </c>
      <c r="G38">
        <v>1</v>
      </c>
      <c r="H38" t="s">
        <v>20</v>
      </c>
      <c r="I38">
        <v>140</v>
      </c>
      <c r="J38">
        <v>12</v>
      </c>
      <c r="K38">
        <v>13.5</v>
      </c>
      <c r="L38">
        <v>0.02</v>
      </c>
      <c r="M38">
        <v>30</v>
      </c>
      <c r="O38" t="s">
        <v>21</v>
      </c>
      <c r="P38" t="s">
        <v>96</v>
      </c>
    </row>
    <row r="39" spans="1:16">
      <c r="A39" t="s">
        <v>97</v>
      </c>
      <c r="B39" s="2" t="str">
        <f>Hyperlink("https://www.diodes.com/datasheet/download/D12V0L1B2LP.pdf")</f>
        <v>https://www.diodes.com/datasheet/download/D12V0L1B2LP.pdf</v>
      </c>
      <c r="C39" t="str">
        <f>Hyperlink("https://www.diodes.com/part/view/D12V0L1B2LP","D12V0L1B2LP")</f>
        <v>D12V0L1B2LP</v>
      </c>
      <c r="E39" t="s">
        <v>18</v>
      </c>
      <c r="F39" t="s">
        <v>19</v>
      </c>
      <c r="G39">
        <v>1</v>
      </c>
      <c r="H39" t="s">
        <v>28</v>
      </c>
      <c r="I39">
        <v>10</v>
      </c>
      <c r="J39">
        <v>12</v>
      </c>
      <c r="K39">
        <v>13</v>
      </c>
      <c r="L39">
        <v>0.001</v>
      </c>
      <c r="M39">
        <v>4</v>
      </c>
      <c r="N39">
        <v>25</v>
      </c>
      <c r="O39" t="s">
        <v>21</v>
      </c>
      <c r="P39" t="s">
        <v>22</v>
      </c>
    </row>
    <row r="40" spans="1:16">
      <c r="A40" t="s">
        <v>98</v>
      </c>
      <c r="B40" s="2" t="str">
        <f>Hyperlink("https://www.diodes.com/datasheet/download/D12V0M1U2LP3.pdf")</f>
        <v>https://www.diodes.com/datasheet/download/D12V0M1U2LP3.pdf</v>
      </c>
      <c r="C40" t="str">
        <f>Hyperlink("https://www.diodes.com/part/view/D12V0M1U2LP3","D12V0M1U2LP3")</f>
        <v>D12V0M1U2LP3</v>
      </c>
      <c r="D40" t="s">
        <v>99</v>
      </c>
      <c r="E40" t="s">
        <v>18</v>
      </c>
      <c r="F40" t="s">
        <v>19</v>
      </c>
      <c r="G40">
        <v>1</v>
      </c>
      <c r="H40" t="s">
        <v>20</v>
      </c>
      <c r="I40">
        <v>22</v>
      </c>
      <c r="J40">
        <v>12</v>
      </c>
      <c r="K40">
        <v>13</v>
      </c>
      <c r="M40">
        <v>4</v>
      </c>
      <c r="N40">
        <v>25</v>
      </c>
      <c r="O40" t="s">
        <v>21</v>
      </c>
      <c r="P40" t="s">
        <v>100</v>
      </c>
    </row>
    <row r="41" spans="1:16">
      <c r="A41" t="s">
        <v>101</v>
      </c>
      <c r="B41" s="2" t="str">
        <f>Hyperlink("https://www.diodes.com/datasheet/download/D12V0M1U2S9.pdf")</f>
        <v>https://www.diodes.com/datasheet/download/D12V0M1U2S9.pdf</v>
      </c>
      <c r="C41" t="str">
        <f>Hyperlink("https://www.diodes.com/part/view/D12V0M1U2S9","D12V0M1U2S9")</f>
        <v>D12V0M1U2S9</v>
      </c>
      <c r="E41" t="s">
        <v>18</v>
      </c>
      <c r="F41" t="s">
        <v>19</v>
      </c>
      <c r="G41">
        <v>1</v>
      </c>
      <c r="H41" t="s">
        <v>20</v>
      </c>
      <c r="I41">
        <v>20</v>
      </c>
      <c r="J41">
        <v>12</v>
      </c>
      <c r="K41">
        <v>13</v>
      </c>
      <c r="L41">
        <v>0.001</v>
      </c>
      <c r="M41">
        <v>4</v>
      </c>
      <c r="N41">
        <v>25</v>
      </c>
      <c r="O41" t="s">
        <v>21</v>
      </c>
      <c r="P41" t="s">
        <v>102</v>
      </c>
    </row>
    <row r="42" spans="1:16">
      <c r="A42" t="s">
        <v>103</v>
      </c>
      <c r="B42" s="2" t="str">
        <f>Hyperlink("https://www.diodes.com/datasheet/download/D12V0M1U2S9Q.pdf")</f>
        <v>https://www.diodes.com/datasheet/download/D12V0M1U2S9Q.pdf</v>
      </c>
      <c r="C42" t="str">
        <f>Hyperlink("https://www.diodes.com/part/view/D12V0M1U2S9Q","D12V0M1U2S9Q")</f>
        <v>D12V0M1U2S9Q</v>
      </c>
      <c r="D42" t="s">
        <v>86</v>
      </c>
      <c r="E42" t="s">
        <v>32</v>
      </c>
      <c r="F42" t="s">
        <v>33</v>
      </c>
      <c r="G42">
        <v>1</v>
      </c>
      <c r="H42" t="s">
        <v>20</v>
      </c>
      <c r="I42">
        <v>20</v>
      </c>
      <c r="J42">
        <v>12</v>
      </c>
      <c r="K42">
        <v>13</v>
      </c>
      <c r="L42">
        <v>0.001</v>
      </c>
      <c r="M42">
        <v>4</v>
      </c>
      <c r="N42">
        <v>25</v>
      </c>
      <c r="O42" t="s">
        <v>21</v>
      </c>
      <c r="P42" t="s">
        <v>102</v>
      </c>
    </row>
    <row r="43" spans="1:16">
      <c r="A43" t="s">
        <v>104</v>
      </c>
      <c r="B43" s="2" t="str">
        <f>Hyperlink("https://www.diodes.com/datasheet/download/D12V0M1U2T.pdf")</f>
        <v>https://www.diodes.com/datasheet/download/D12V0M1U2T.pdf</v>
      </c>
      <c r="C43" t="str">
        <f>Hyperlink("https://www.diodes.com/part/view/D12V0M1U2T","D12V0M1U2T")</f>
        <v>D12V0M1U2T</v>
      </c>
      <c r="D43" t="s">
        <v>105</v>
      </c>
      <c r="E43" t="s">
        <v>18</v>
      </c>
      <c r="F43" t="s">
        <v>33</v>
      </c>
      <c r="G43">
        <v>1</v>
      </c>
      <c r="H43" t="s">
        <v>20</v>
      </c>
      <c r="I43">
        <v>45</v>
      </c>
      <c r="J43">
        <v>12</v>
      </c>
      <c r="K43">
        <v>14.2</v>
      </c>
      <c r="M43">
        <v>6</v>
      </c>
      <c r="N43">
        <v>30</v>
      </c>
      <c r="O43" t="s">
        <v>21</v>
      </c>
      <c r="P43" t="s">
        <v>45</v>
      </c>
    </row>
    <row r="44" spans="1:16">
      <c r="A44" t="s">
        <v>106</v>
      </c>
      <c r="B44" s="2" t="str">
        <f>Hyperlink("https://www.diodes.com/datasheet/download/D12V0M2U3SLP.pdf")</f>
        <v>https://www.diodes.com/datasheet/download/D12V0M2U3SLP.pdf</v>
      </c>
      <c r="C44" t="str">
        <f>Hyperlink("https://www.diodes.com/part/view/D12V0M2U3SLP","D12V0M2U3SLP")</f>
        <v>D12V0M2U3SLP</v>
      </c>
      <c r="D44" t="s">
        <v>107</v>
      </c>
      <c r="E44" t="s">
        <v>18</v>
      </c>
      <c r="F44" t="s">
        <v>19</v>
      </c>
      <c r="G44">
        <v>2</v>
      </c>
      <c r="H44" t="s">
        <v>56</v>
      </c>
      <c r="I44">
        <v>70</v>
      </c>
      <c r="J44">
        <v>12</v>
      </c>
      <c r="K44">
        <v>12.5</v>
      </c>
      <c r="M44">
        <v>15</v>
      </c>
      <c r="O44" t="s">
        <v>21</v>
      </c>
      <c r="P44" t="s">
        <v>108</v>
      </c>
    </row>
    <row r="45" spans="1:16">
      <c r="A45" t="s">
        <v>109</v>
      </c>
      <c r="B45" s="2" t="str">
        <f>Hyperlink("https://www.diodes.com/datasheet/download/ds41785.pdf")</f>
        <v>https://www.diodes.com/datasheet/download/ds41785.pdf</v>
      </c>
      <c r="C45" t="str">
        <f>Hyperlink("https://www.diodes.com/part/view/D12V0S1U2LP1608","D12V0S1U2LP1608")</f>
        <v>D12V0S1U2LP1608</v>
      </c>
      <c r="D45" t="s">
        <v>24</v>
      </c>
      <c r="E45" t="s">
        <v>18</v>
      </c>
      <c r="F45" t="s">
        <v>19</v>
      </c>
      <c r="G45">
        <v>1</v>
      </c>
      <c r="H45" t="s">
        <v>20</v>
      </c>
      <c r="I45">
        <v>380</v>
      </c>
      <c r="J45">
        <v>12</v>
      </c>
      <c r="K45">
        <v>13</v>
      </c>
      <c r="M45">
        <v>55</v>
      </c>
      <c r="N45">
        <v>22</v>
      </c>
      <c r="O45" t="s">
        <v>21</v>
      </c>
      <c r="P45" t="s">
        <v>110</v>
      </c>
    </row>
    <row r="46" spans="1:16">
      <c r="A46" t="s">
        <v>111</v>
      </c>
      <c r="B46" s="2" t="str">
        <f>Hyperlink("https://www.diodes.com/datasheet/download/D12V0S1U2LP1610_D50V0S1U2LP1610.pdf")</f>
        <v>https://www.diodes.com/datasheet/download/D12V0S1U2LP1610_D50V0S1U2LP1610.pdf</v>
      </c>
      <c r="C46" t="str">
        <f>Hyperlink("https://www.diodes.com/part/view/D12V0S1U2LP1610","D12V0S1U2LP1610")</f>
        <v>D12V0S1U2LP1610</v>
      </c>
      <c r="D46" t="s">
        <v>24</v>
      </c>
      <c r="E46" t="s">
        <v>18</v>
      </c>
      <c r="F46" t="s">
        <v>19</v>
      </c>
      <c r="G46">
        <v>1</v>
      </c>
      <c r="H46" t="s">
        <v>20</v>
      </c>
      <c r="I46">
        <v>400</v>
      </c>
      <c r="J46">
        <v>12</v>
      </c>
      <c r="K46">
        <v>13</v>
      </c>
      <c r="M46">
        <v>65</v>
      </c>
      <c r="N46">
        <v>20</v>
      </c>
      <c r="O46" t="s">
        <v>21</v>
      </c>
      <c r="P46" t="s">
        <v>87</v>
      </c>
    </row>
    <row r="47" spans="1:16">
      <c r="A47" t="s">
        <v>112</v>
      </c>
      <c r="B47" s="2" t="str">
        <f>Hyperlink("https://www.diodes.com/datasheet/download/D12V0S1U2LP1610Q.pdf")</f>
        <v>https://www.diodes.com/datasheet/download/D12V0S1U2LP1610Q.pdf</v>
      </c>
      <c r="C47" t="str">
        <f>Hyperlink("https://www.diodes.com/part/view/D12V0S1U2LP1610Q","D12V0S1U2LP1610Q")</f>
        <v>D12V0S1U2LP1610Q</v>
      </c>
      <c r="D47" t="s">
        <v>113</v>
      </c>
      <c r="E47" t="s">
        <v>32</v>
      </c>
      <c r="F47" t="s">
        <v>33</v>
      </c>
      <c r="G47">
        <v>1</v>
      </c>
      <c r="H47" t="s">
        <v>20</v>
      </c>
      <c r="I47">
        <v>400</v>
      </c>
      <c r="J47">
        <v>12</v>
      </c>
      <c r="K47">
        <v>13</v>
      </c>
      <c r="M47">
        <v>65</v>
      </c>
      <c r="N47">
        <v>20</v>
      </c>
      <c r="O47" t="s">
        <v>21</v>
      </c>
      <c r="P47" t="s">
        <v>87</v>
      </c>
    </row>
    <row r="48" spans="1:16">
      <c r="A48" t="s">
        <v>114</v>
      </c>
      <c r="B48" s="2" t="str">
        <f>Hyperlink("https://www.diodes.com/datasheet/download/D7V5S1U3LP20-D48V0S1U3LP20.pdf")</f>
        <v>https://www.diodes.com/datasheet/download/D7V5S1U3LP20-D48V0S1U3LP20.pdf</v>
      </c>
      <c r="C48" t="str">
        <f>Hyperlink("https://www.diodes.com/part/view/D12V0S1U3LP20","D12V0S1U3LP20")</f>
        <v>D12V0S1U3LP20</v>
      </c>
      <c r="D48" t="s">
        <v>24</v>
      </c>
      <c r="E48" t="s">
        <v>18</v>
      </c>
      <c r="F48" t="s">
        <v>19</v>
      </c>
      <c r="G48">
        <v>1</v>
      </c>
      <c r="H48" t="s">
        <v>20</v>
      </c>
      <c r="I48">
        <v>1242</v>
      </c>
      <c r="J48">
        <v>12</v>
      </c>
      <c r="K48">
        <v>13.3</v>
      </c>
      <c r="M48">
        <v>145</v>
      </c>
      <c r="N48">
        <v>27.5</v>
      </c>
      <c r="O48" t="s">
        <v>21</v>
      </c>
      <c r="P48" t="s">
        <v>25</v>
      </c>
    </row>
    <row r="49" spans="1:16">
      <c r="A49" t="s">
        <v>115</v>
      </c>
      <c r="B49" s="2" t="str">
        <f>Hyperlink("https://www.diodes.com/datasheet/download/D12V0X1B2CSP.pdf")</f>
        <v>https://www.diodes.com/datasheet/download/D12V0X1B2CSP.pdf</v>
      </c>
      <c r="C49" t="str">
        <f>Hyperlink("https://www.diodes.com/part/view/D12V0X1B2CSP","D12V0X1B2CSP")</f>
        <v>D12V0X1B2CSP</v>
      </c>
      <c r="D49" t="s">
        <v>116</v>
      </c>
      <c r="E49" t="s">
        <v>18</v>
      </c>
      <c r="F49" t="s">
        <v>19</v>
      </c>
      <c r="G49">
        <v>1</v>
      </c>
      <c r="H49" t="s">
        <v>28</v>
      </c>
      <c r="J49">
        <v>12</v>
      </c>
      <c r="K49">
        <v>13</v>
      </c>
      <c r="L49">
        <v>0.01</v>
      </c>
      <c r="M49">
        <v>3</v>
      </c>
      <c r="N49">
        <v>26</v>
      </c>
      <c r="O49" t="s">
        <v>117</v>
      </c>
      <c r="P49" t="s">
        <v>118</v>
      </c>
    </row>
    <row r="50" spans="1:16">
      <c r="A50" t="s">
        <v>119</v>
      </c>
      <c r="B50" s="2" t="str">
        <f>Hyperlink("https://www.diodes.com/datasheet/download/D12V0X1B2LP.pdf")</f>
        <v>https://www.diodes.com/datasheet/download/D12V0X1B2LP.pdf</v>
      </c>
      <c r="C50" t="str">
        <f>Hyperlink("https://www.diodes.com/part/view/D12V0X1B2LP","D12V0X1B2LP")</f>
        <v>D12V0X1B2LP</v>
      </c>
      <c r="D50" t="s">
        <v>120</v>
      </c>
      <c r="E50" t="s">
        <v>18</v>
      </c>
      <c r="F50" t="s">
        <v>19</v>
      </c>
      <c r="G50">
        <v>1</v>
      </c>
      <c r="H50" t="s">
        <v>28</v>
      </c>
      <c r="I50">
        <v>0.5</v>
      </c>
      <c r="J50">
        <v>12</v>
      </c>
      <c r="K50">
        <v>13</v>
      </c>
      <c r="M50">
        <v>4</v>
      </c>
      <c r="N50">
        <v>25</v>
      </c>
      <c r="O50" t="s">
        <v>29</v>
      </c>
      <c r="P50" t="s">
        <v>22</v>
      </c>
    </row>
    <row r="51" spans="1:16">
      <c r="A51" t="s">
        <v>121</v>
      </c>
      <c r="B51" s="2" t="str">
        <f>Hyperlink("https://www.diodes.com/datasheet/download/DS43178.pdf")</f>
        <v>https://www.diodes.com/datasheet/download/DS43178.pdf</v>
      </c>
      <c r="C51" t="str">
        <f>Hyperlink("https://www.diodes.com/part/view/D12V0X1B2LP4Q","D12V0X1B2LP4Q")</f>
        <v>D12V0X1B2LP4Q</v>
      </c>
      <c r="D51" t="s">
        <v>31</v>
      </c>
      <c r="E51" t="s">
        <v>32</v>
      </c>
      <c r="F51" t="s">
        <v>33</v>
      </c>
      <c r="G51">
        <v>1</v>
      </c>
      <c r="H51" t="s">
        <v>28</v>
      </c>
      <c r="I51">
        <v>0.5</v>
      </c>
      <c r="J51">
        <v>12</v>
      </c>
      <c r="K51">
        <v>13</v>
      </c>
      <c r="M51">
        <v>4</v>
      </c>
      <c r="N51">
        <v>25</v>
      </c>
      <c r="O51" t="s">
        <v>29</v>
      </c>
      <c r="P51" t="s">
        <v>34</v>
      </c>
    </row>
    <row r="52" spans="1:16">
      <c r="A52" t="s">
        <v>122</v>
      </c>
      <c r="B52" s="2" t="str">
        <f>Hyperlink("https://www.diodes.com/datasheet/download/D12V0X1B2LPQ.pdf")</f>
        <v>https://www.diodes.com/datasheet/download/D12V0X1B2LPQ.pdf</v>
      </c>
      <c r="C52" t="str">
        <f>Hyperlink("https://www.diodes.com/part/view/D12V0X1B2LPQ","D12V0X1B2LPQ")</f>
        <v>D12V0X1B2LPQ</v>
      </c>
      <c r="D52" t="s">
        <v>120</v>
      </c>
      <c r="E52" t="s">
        <v>32</v>
      </c>
      <c r="F52" t="s">
        <v>33</v>
      </c>
      <c r="G52">
        <v>1</v>
      </c>
      <c r="H52" t="s">
        <v>28</v>
      </c>
      <c r="I52">
        <v>0.52</v>
      </c>
      <c r="J52">
        <v>12</v>
      </c>
      <c r="K52">
        <v>13</v>
      </c>
      <c r="M52">
        <v>4</v>
      </c>
      <c r="N52">
        <v>24</v>
      </c>
      <c r="O52" t="s">
        <v>29</v>
      </c>
      <c r="P52" t="s">
        <v>22</v>
      </c>
    </row>
    <row r="53" spans="1:16">
      <c r="A53" t="s">
        <v>123</v>
      </c>
      <c r="B53" s="2" t="str">
        <f>Hyperlink("https://www.diodes.com/datasheet/download/D13AP2WF.pdf")</f>
        <v>https://www.diodes.com/datasheet/download/D13AP2WF.pdf</v>
      </c>
      <c r="C53" t="str">
        <f>Hyperlink("https://www.diodes.com/part/view/D13AP2WF","D13AP2WF")</f>
        <v>D13AP2WF</v>
      </c>
      <c r="D53" t="s">
        <v>124</v>
      </c>
      <c r="E53" t="s">
        <v>18</v>
      </c>
      <c r="F53" t="s">
        <v>19</v>
      </c>
      <c r="G53">
        <v>1</v>
      </c>
      <c r="H53" t="s">
        <v>20</v>
      </c>
      <c r="J53">
        <v>13</v>
      </c>
      <c r="K53">
        <v>14.4</v>
      </c>
      <c r="M53">
        <v>10.5</v>
      </c>
      <c r="N53">
        <v>21.5</v>
      </c>
      <c r="O53" t="s">
        <v>21</v>
      </c>
      <c r="P53" t="s">
        <v>125</v>
      </c>
    </row>
    <row r="54" spans="1:16">
      <c r="A54" t="s">
        <v>126</v>
      </c>
      <c r="B54" s="2" t="str">
        <f>Hyperlink("https://www.diodes.com/datasheet/download/D14V0H1U2LP.pdf")</f>
        <v>https://www.diodes.com/datasheet/download/D14V0H1U2LP.pdf</v>
      </c>
      <c r="C54" t="str">
        <f>Hyperlink("https://www.diodes.com/part/view/D14V0H1U2LP","D14V0H1U2LP")</f>
        <v>D14V0H1U2LP</v>
      </c>
      <c r="D54" t="s">
        <v>127</v>
      </c>
      <c r="E54" t="s">
        <v>18</v>
      </c>
      <c r="F54" t="s">
        <v>19</v>
      </c>
      <c r="G54">
        <v>1</v>
      </c>
      <c r="H54" t="s">
        <v>20</v>
      </c>
      <c r="I54">
        <v>76</v>
      </c>
      <c r="J54">
        <v>14</v>
      </c>
      <c r="K54">
        <v>15</v>
      </c>
      <c r="L54">
        <v>0.1</v>
      </c>
      <c r="M54">
        <v>3</v>
      </c>
      <c r="N54">
        <v>32</v>
      </c>
      <c r="O54" t="s">
        <v>21</v>
      </c>
      <c r="P54" t="s">
        <v>22</v>
      </c>
    </row>
    <row r="55" spans="1:16">
      <c r="A55" t="s">
        <v>128</v>
      </c>
      <c r="B55" s="2" t="str">
        <f>Hyperlink("https://www.diodes.com/datasheet/download/D14V0H1U2LP1610.pdf")</f>
        <v>https://www.diodes.com/datasheet/download/D14V0H1U2LP1610.pdf</v>
      </c>
      <c r="C55" t="str">
        <f>Hyperlink("https://www.diodes.com/part/view/D14V0H1U2LP1610","D14V0H1U2LP1610")</f>
        <v>D14V0H1U2LP1610</v>
      </c>
      <c r="D55" t="s">
        <v>129</v>
      </c>
      <c r="E55" t="s">
        <v>18</v>
      </c>
      <c r="F55" t="s">
        <v>19</v>
      </c>
      <c r="G55">
        <v>1</v>
      </c>
      <c r="H55" t="s">
        <v>20</v>
      </c>
      <c r="I55">
        <v>320</v>
      </c>
      <c r="J55">
        <v>14</v>
      </c>
      <c r="K55">
        <v>15</v>
      </c>
      <c r="M55">
        <v>50</v>
      </c>
      <c r="N55">
        <v>23.5</v>
      </c>
      <c r="O55" t="s">
        <v>21</v>
      </c>
      <c r="P55" t="s">
        <v>87</v>
      </c>
    </row>
    <row r="56" spans="1:16">
      <c r="A56" t="s">
        <v>130</v>
      </c>
      <c r="B56" s="2" t="str">
        <f>Hyperlink("https://www.diodes.com/datasheet/download/D14V0H1U2WS.pdf")</f>
        <v>https://www.diodes.com/datasheet/download/D14V0H1U2WS.pdf</v>
      </c>
      <c r="C56" t="str">
        <f>Hyperlink("https://www.diodes.com/part/view/D14V0H1U2WS","D14V0H1U2WS")</f>
        <v>D14V0H1U2WS</v>
      </c>
      <c r="E56" t="s">
        <v>18</v>
      </c>
      <c r="F56" t="s">
        <v>19</v>
      </c>
      <c r="G56">
        <v>1</v>
      </c>
      <c r="H56" t="s">
        <v>20</v>
      </c>
      <c r="I56">
        <v>160</v>
      </c>
      <c r="J56">
        <v>14</v>
      </c>
      <c r="K56">
        <v>14.5</v>
      </c>
      <c r="L56">
        <v>0.01</v>
      </c>
      <c r="M56">
        <v>25</v>
      </c>
      <c r="N56">
        <v>25</v>
      </c>
      <c r="O56" t="s">
        <v>21</v>
      </c>
      <c r="P56" t="s">
        <v>51</v>
      </c>
    </row>
    <row r="57" spans="1:16">
      <c r="A57" t="s">
        <v>131</v>
      </c>
      <c r="B57" s="2" t="str">
        <f>Hyperlink("https://www.diodes.com/datasheet/download/D14V0S1U2WS.pdf")</f>
        <v>https://www.diodes.com/datasheet/download/D14V0S1U2WS.pdf</v>
      </c>
      <c r="C57" t="str">
        <f>Hyperlink("https://www.diodes.com/part/view/D14V0S1U2WS","D14V0S1U2WS")</f>
        <v>D14V0S1U2WS</v>
      </c>
      <c r="D57" t="s">
        <v>127</v>
      </c>
      <c r="E57" t="s">
        <v>18</v>
      </c>
      <c r="F57" t="s">
        <v>19</v>
      </c>
      <c r="G57">
        <v>1</v>
      </c>
      <c r="H57" t="s">
        <v>20</v>
      </c>
      <c r="I57">
        <v>360</v>
      </c>
      <c r="J57">
        <v>14</v>
      </c>
      <c r="K57">
        <v>14.5</v>
      </c>
      <c r="L57">
        <v>0.01</v>
      </c>
      <c r="M57">
        <v>50</v>
      </c>
      <c r="N57">
        <v>26</v>
      </c>
      <c r="O57" t="s">
        <v>21</v>
      </c>
      <c r="P57" t="s">
        <v>51</v>
      </c>
    </row>
    <row r="58" spans="1:16">
      <c r="A58" t="s">
        <v>132</v>
      </c>
      <c r="B58" s="2" t="str">
        <f>Hyperlink("https://www.diodes.com/datasheet/download/D15V0H1U2LP.pdf")</f>
        <v>https://www.diodes.com/datasheet/download/D15V0H1U2LP.pdf</v>
      </c>
      <c r="C58" t="str">
        <f>Hyperlink("https://www.diodes.com/part/view/D15V0H1U2LP","D15V0H1U2LP")</f>
        <v>D15V0H1U2LP</v>
      </c>
      <c r="D58" t="s">
        <v>17</v>
      </c>
      <c r="E58" t="s">
        <v>18</v>
      </c>
      <c r="F58" t="s">
        <v>19</v>
      </c>
      <c r="G58">
        <v>1</v>
      </c>
      <c r="H58" t="s">
        <v>20</v>
      </c>
      <c r="I58">
        <v>70</v>
      </c>
      <c r="J58">
        <v>15</v>
      </c>
      <c r="K58">
        <v>16</v>
      </c>
      <c r="M58">
        <v>12</v>
      </c>
      <c r="N58">
        <v>27</v>
      </c>
      <c r="O58" t="s">
        <v>21</v>
      </c>
      <c r="P58" t="s">
        <v>22</v>
      </c>
    </row>
    <row r="59" spans="1:16">
      <c r="A59" t="s">
        <v>133</v>
      </c>
      <c r="B59" s="2" t="str">
        <f>Hyperlink("https://www.diodes.com/datasheet/download/D15V0H1U2LP16.pdf")</f>
        <v>https://www.diodes.com/datasheet/download/D15V0H1U2LP16.pdf</v>
      </c>
      <c r="C59" t="str">
        <f>Hyperlink("https://www.diodes.com/part/view/D15V0H1U2LP16","D15V0H1U2LP16")</f>
        <v>D15V0H1U2LP16</v>
      </c>
      <c r="D59" t="s">
        <v>134</v>
      </c>
      <c r="E59" t="s">
        <v>18</v>
      </c>
      <c r="F59" t="s">
        <v>19</v>
      </c>
      <c r="G59">
        <v>1</v>
      </c>
      <c r="H59" t="s">
        <v>20</v>
      </c>
      <c r="I59">
        <v>700</v>
      </c>
      <c r="J59">
        <v>15</v>
      </c>
      <c r="K59">
        <v>15.5</v>
      </c>
      <c r="M59">
        <v>90</v>
      </c>
      <c r="N59">
        <v>25</v>
      </c>
      <c r="O59" t="s">
        <v>21</v>
      </c>
      <c r="P59" t="s">
        <v>135</v>
      </c>
    </row>
    <row r="60" spans="1:16">
      <c r="A60" t="s">
        <v>136</v>
      </c>
      <c r="B60" s="2" t="str">
        <f>Hyperlink("https://www.diodes.com/datasheet/download/D15V0HA1U2LP.pdf")</f>
        <v>https://www.diodes.com/datasheet/download/D15V0HA1U2LP.pdf</v>
      </c>
      <c r="C60" t="str">
        <f>Hyperlink("https://www.diodes.com/part/view/D15V0HA1U2LP","D15V0HA1U2LP")</f>
        <v>D15V0HA1U2LP</v>
      </c>
      <c r="D60" t="s">
        <v>17</v>
      </c>
      <c r="E60" t="s">
        <v>18</v>
      </c>
      <c r="F60" t="s">
        <v>19</v>
      </c>
      <c r="G60">
        <v>1</v>
      </c>
      <c r="H60" t="s">
        <v>20</v>
      </c>
      <c r="I60">
        <v>95</v>
      </c>
      <c r="J60">
        <v>15</v>
      </c>
      <c r="K60">
        <v>16</v>
      </c>
      <c r="L60">
        <v>0.02</v>
      </c>
      <c r="M60">
        <v>20</v>
      </c>
      <c r="N60">
        <v>23</v>
      </c>
      <c r="O60" t="s">
        <v>21</v>
      </c>
      <c r="P60" t="s">
        <v>22</v>
      </c>
    </row>
    <row r="61" spans="1:16">
      <c r="A61" t="s">
        <v>137</v>
      </c>
      <c r="B61" s="2" t="str">
        <f>Hyperlink("https://www.diodes.com/datasheet/download/D15V0M1U2LP3.pdf")</f>
        <v>https://www.diodes.com/datasheet/download/D15V0M1U2LP3.pdf</v>
      </c>
      <c r="C61" t="str">
        <f>Hyperlink("https://www.diodes.com/part/view/D15V0M1U2LP3","D15V0M1U2LP3")</f>
        <v>D15V0M1U2LP3</v>
      </c>
      <c r="D61" t="s">
        <v>134</v>
      </c>
      <c r="E61" t="s">
        <v>18</v>
      </c>
      <c r="F61" t="s">
        <v>19</v>
      </c>
      <c r="G61">
        <v>1</v>
      </c>
      <c r="H61" t="s">
        <v>20</v>
      </c>
      <c r="I61">
        <v>19</v>
      </c>
      <c r="J61">
        <v>15</v>
      </c>
      <c r="K61">
        <v>15.5</v>
      </c>
      <c r="M61">
        <v>3</v>
      </c>
      <c r="N61">
        <v>24</v>
      </c>
      <c r="O61" t="s">
        <v>21</v>
      </c>
      <c r="P61" t="s">
        <v>100</v>
      </c>
    </row>
    <row r="62" spans="1:16">
      <c r="A62" t="s">
        <v>138</v>
      </c>
      <c r="B62" s="2" t="str">
        <f>Hyperlink("https://www.diodes.com/datasheet/download/D15V0M2U3SLP.pdf")</f>
        <v>https://www.diodes.com/datasheet/download/D15V0M2U3SLP.pdf</v>
      </c>
      <c r="C62" t="str">
        <f>Hyperlink("https://www.diodes.com/part/view/D15V0M2U3SLP","D15V0M2U3SLP")</f>
        <v>D15V0M2U3SLP</v>
      </c>
      <c r="D62" t="s">
        <v>107</v>
      </c>
      <c r="E62" t="s">
        <v>18</v>
      </c>
      <c r="F62" t="s">
        <v>19</v>
      </c>
      <c r="G62">
        <v>2</v>
      </c>
      <c r="H62" t="s">
        <v>56</v>
      </c>
      <c r="I62">
        <v>60</v>
      </c>
      <c r="J62">
        <v>15</v>
      </c>
      <c r="K62">
        <v>15.5</v>
      </c>
      <c r="M62">
        <v>12</v>
      </c>
      <c r="N62">
        <v>31</v>
      </c>
      <c r="O62" t="s">
        <v>21</v>
      </c>
      <c r="P62" t="s">
        <v>108</v>
      </c>
    </row>
    <row r="63" spans="1:16">
      <c r="A63" t="s">
        <v>139</v>
      </c>
      <c r="B63" s="2" t="str">
        <f>Hyperlink("https://www.diodes.com/datasheet/download/D15V0R1B2LP.pdf")</f>
        <v>https://www.diodes.com/datasheet/download/D15V0R1B2LP.pdf</v>
      </c>
      <c r="C63" t="str">
        <f>Hyperlink("https://www.diodes.com/part/view/D15V0R1B2LP","D15V0R1B2LP")</f>
        <v>D15V0R1B2LP</v>
      </c>
      <c r="D63" t="s">
        <v>116</v>
      </c>
      <c r="E63" t="s">
        <v>18</v>
      </c>
      <c r="F63" t="s">
        <v>19</v>
      </c>
      <c r="G63">
        <v>1</v>
      </c>
      <c r="H63" t="s">
        <v>28</v>
      </c>
      <c r="I63">
        <v>26</v>
      </c>
      <c r="J63">
        <v>15</v>
      </c>
      <c r="K63">
        <v>16.2</v>
      </c>
      <c r="M63">
        <v>8</v>
      </c>
      <c r="N63">
        <v>29</v>
      </c>
      <c r="O63" t="s">
        <v>21</v>
      </c>
      <c r="P63" t="s">
        <v>22</v>
      </c>
    </row>
    <row r="64" spans="1:16">
      <c r="A64" t="s">
        <v>140</v>
      </c>
      <c r="B64" s="2" t="str">
        <f>Hyperlink("https://www.diodes.com/datasheet/download/ds41785.pdf")</f>
        <v>https://www.diodes.com/datasheet/download/ds41785.pdf</v>
      </c>
      <c r="C64" t="str">
        <f>Hyperlink("https://www.diodes.com/part/view/D15V0S1U2LP1608","D15V0S1U2LP1608")</f>
        <v>D15V0S1U2LP1608</v>
      </c>
      <c r="D64" t="s">
        <v>24</v>
      </c>
      <c r="E64" t="s">
        <v>18</v>
      </c>
      <c r="F64" t="s">
        <v>19</v>
      </c>
      <c r="G64">
        <v>1</v>
      </c>
      <c r="H64" t="s">
        <v>20</v>
      </c>
      <c r="I64">
        <v>264</v>
      </c>
      <c r="J64">
        <v>15</v>
      </c>
      <c r="K64">
        <v>17</v>
      </c>
      <c r="M64">
        <v>35</v>
      </c>
      <c r="N64">
        <v>30</v>
      </c>
      <c r="O64" t="s">
        <v>21</v>
      </c>
      <c r="P64" t="s">
        <v>110</v>
      </c>
    </row>
    <row r="65" spans="1:16">
      <c r="A65" t="s">
        <v>141</v>
      </c>
      <c r="B65" s="2" t="str">
        <f>Hyperlink("https://www.diodes.com/datasheet/download/D15V0S1U2LP1608A.pdf")</f>
        <v>https://www.diodes.com/datasheet/download/D15V0S1U2LP1608A.pdf</v>
      </c>
      <c r="C65" t="str">
        <f>Hyperlink("https://www.diodes.com/part/view/D15V0S1U2LP1608A","D15V0S1U2LP1608A")</f>
        <v>D15V0S1U2LP1608A</v>
      </c>
      <c r="D65" t="s">
        <v>24</v>
      </c>
      <c r="E65" t="s">
        <v>18</v>
      </c>
      <c r="F65" t="s">
        <v>19</v>
      </c>
      <c r="G65">
        <v>1</v>
      </c>
      <c r="H65" t="s">
        <v>20</v>
      </c>
      <c r="I65">
        <v>264</v>
      </c>
      <c r="J65">
        <v>15</v>
      </c>
      <c r="K65">
        <v>17</v>
      </c>
      <c r="M65">
        <v>40</v>
      </c>
      <c r="N65">
        <v>35</v>
      </c>
      <c r="O65" t="s">
        <v>21</v>
      </c>
      <c r="P65" t="s">
        <v>110</v>
      </c>
    </row>
    <row r="66" spans="1:16">
      <c r="A66" t="s">
        <v>142</v>
      </c>
      <c r="B66" s="2" t="str">
        <f>Hyperlink("https://www.diodes.com/datasheet/download/D12V0S1U2LP1610_D50V0S1U2LP1610.pdf")</f>
        <v>https://www.diodes.com/datasheet/download/D12V0S1U2LP1610_D50V0S1U2LP1610.pdf</v>
      </c>
      <c r="C66" t="str">
        <f>Hyperlink("https://www.diodes.com/part/view/D15V0S1U2LP1610","D15V0S1U2LP1610")</f>
        <v>D15V0S1U2LP1610</v>
      </c>
      <c r="D66" t="s">
        <v>24</v>
      </c>
      <c r="E66" t="s">
        <v>18</v>
      </c>
      <c r="F66" t="s">
        <v>19</v>
      </c>
      <c r="G66">
        <v>1</v>
      </c>
      <c r="H66" t="s">
        <v>20</v>
      </c>
      <c r="I66">
        <v>270</v>
      </c>
      <c r="J66">
        <v>15</v>
      </c>
      <c r="K66">
        <v>17</v>
      </c>
      <c r="M66">
        <v>48</v>
      </c>
      <c r="N66">
        <v>30</v>
      </c>
      <c r="O66" t="s">
        <v>21</v>
      </c>
      <c r="P66" t="s">
        <v>87</v>
      </c>
    </row>
    <row r="67" spans="1:16">
      <c r="A67" t="s">
        <v>143</v>
      </c>
      <c r="B67" s="2" t="str">
        <f>Hyperlink("https://www.diodes.com/datasheet/download/D15V0S1U2LP1610Q.pdf")</f>
        <v>https://www.diodes.com/datasheet/download/D15V0S1U2LP1610Q.pdf</v>
      </c>
      <c r="C67" t="str">
        <f>Hyperlink("https://www.diodes.com/part/view/D15V0S1U2LP1610Q","D15V0S1U2LP1610Q")</f>
        <v>D15V0S1U2LP1610Q</v>
      </c>
      <c r="D67" t="s">
        <v>129</v>
      </c>
      <c r="E67" t="s">
        <v>32</v>
      </c>
      <c r="F67" t="s">
        <v>33</v>
      </c>
      <c r="G67">
        <v>1</v>
      </c>
      <c r="H67" t="s">
        <v>20</v>
      </c>
      <c r="I67">
        <v>270</v>
      </c>
      <c r="J67">
        <v>15</v>
      </c>
      <c r="K67">
        <v>17</v>
      </c>
      <c r="M67">
        <v>44</v>
      </c>
      <c r="N67">
        <v>28</v>
      </c>
      <c r="O67" t="s">
        <v>21</v>
      </c>
      <c r="P67" t="s">
        <v>87</v>
      </c>
    </row>
    <row r="68" spans="1:16">
      <c r="A68" t="s">
        <v>144</v>
      </c>
      <c r="B68" s="2" t="str">
        <f>Hyperlink("https://www.diodes.com/datasheet/download/D7V5S1U3LP20-D48V0S1U3LP20.pdf")</f>
        <v>https://www.diodes.com/datasheet/download/D7V5S1U3LP20-D48V0S1U3LP20.pdf</v>
      </c>
      <c r="C68" t="str">
        <f>Hyperlink("https://www.diodes.com/part/view/D15V0S1U3LP20","D15V0S1U3LP20")</f>
        <v>D15V0S1U3LP20</v>
      </c>
      <c r="D68" t="s">
        <v>24</v>
      </c>
      <c r="E68" t="s">
        <v>18</v>
      </c>
      <c r="F68" t="s">
        <v>19</v>
      </c>
      <c r="G68">
        <v>1</v>
      </c>
      <c r="H68" t="s">
        <v>20</v>
      </c>
      <c r="I68">
        <v>1054</v>
      </c>
      <c r="J68">
        <v>15</v>
      </c>
      <c r="K68">
        <v>16.7</v>
      </c>
      <c r="M68">
        <v>140</v>
      </c>
      <c r="N68">
        <v>30.5</v>
      </c>
      <c r="O68" t="s">
        <v>21</v>
      </c>
      <c r="P68" t="s">
        <v>25</v>
      </c>
    </row>
    <row r="69" spans="1:16">
      <c r="A69" t="s">
        <v>145</v>
      </c>
      <c r="B69" s="2" t="str">
        <f>Hyperlink("https://www.diodes.com/datasheet/download/D15V0X1B2LP.pdf")</f>
        <v>https://www.diodes.com/datasheet/download/D15V0X1B2LP.pdf</v>
      </c>
      <c r="C69" t="str">
        <f>Hyperlink("https://www.diodes.com/part/view/D15V0X1B2LP","D15V0X1B2LP")</f>
        <v>D15V0X1B2LP</v>
      </c>
      <c r="D69" t="s">
        <v>146</v>
      </c>
      <c r="E69" t="s">
        <v>18</v>
      </c>
      <c r="F69" t="s">
        <v>19</v>
      </c>
      <c r="G69">
        <v>1</v>
      </c>
      <c r="H69" t="s">
        <v>28</v>
      </c>
      <c r="I69">
        <v>0.55</v>
      </c>
      <c r="J69">
        <v>15</v>
      </c>
      <c r="K69">
        <v>16.5</v>
      </c>
      <c r="M69">
        <v>5</v>
      </c>
      <c r="N69">
        <v>30</v>
      </c>
      <c r="O69" t="s">
        <v>29</v>
      </c>
      <c r="P69" t="s">
        <v>22</v>
      </c>
    </row>
    <row r="70" spans="1:16">
      <c r="A70" t="s">
        <v>147</v>
      </c>
      <c r="B70" s="2" t="str">
        <f>Hyperlink("https://www.diodes.com/datasheet/download/DS43178.pdf")</f>
        <v>https://www.diodes.com/datasheet/download/DS43178.pdf</v>
      </c>
      <c r="C70" t="str">
        <f>Hyperlink("https://www.diodes.com/part/view/D15V0X1B2LP4Q","D15V0X1B2LP4Q")</f>
        <v>D15V0X1B2LP4Q</v>
      </c>
      <c r="D70" t="s">
        <v>31</v>
      </c>
      <c r="E70" t="s">
        <v>32</v>
      </c>
      <c r="F70" t="s">
        <v>33</v>
      </c>
      <c r="G70">
        <v>1</v>
      </c>
      <c r="H70" t="s">
        <v>28</v>
      </c>
      <c r="I70">
        <v>0.5</v>
      </c>
      <c r="J70">
        <v>15</v>
      </c>
      <c r="K70">
        <v>16.5</v>
      </c>
      <c r="M70">
        <v>4</v>
      </c>
      <c r="N70">
        <v>30</v>
      </c>
      <c r="O70" t="s">
        <v>29</v>
      </c>
      <c r="P70" t="s">
        <v>34</v>
      </c>
    </row>
    <row r="71" spans="1:16">
      <c r="A71" t="s">
        <v>148</v>
      </c>
      <c r="B71" s="2" t="str">
        <f>Hyperlink("https://www.diodes.com/datasheet/download/D15V0X1B2LPQ.pdf")</f>
        <v>https://www.diodes.com/datasheet/download/D15V0X1B2LPQ.pdf</v>
      </c>
      <c r="C71" t="str">
        <f>Hyperlink("https://www.diodes.com/part/view/D15V0X1B2LPQ","D15V0X1B2LPQ")</f>
        <v>D15V0X1B2LPQ</v>
      </c>
      <c r="D71" t="s">
        <v>146</v>
      </c>
      <c r="E71" t="s">
        <v>32</v>
      </c>
      <c r="F71" t="s">
        <v>33</v>
      </c>
      <c r="G71">
        <v>1</v>
      </c>
      <c r="H71" t="s">
        <v>28</v>
      </c>
      <c r="I71">
        <v>0.5</v>
      </c>
      <c r="J71">
        <v>15</v>
      </c>
      <c r="K71">
        <v>16.5</v>
      </c>
      <c r="M71">
        <v>4</v>
      </c>
      <c r="N71">
        <v>30</v>
      </c>
      <c r="O71" t="s">
        <v>29</v>
      </c>
      <c r="P71" t="s">
        <v>22</v>
      </c>
    </row>
    <row r="72" spans="1:16">
      <c r="A72" t="s">
        <v>149</v>
      </c>
      <c r="B72" s="2" t="str">
        <f>Hyperlink("https://www.diodes.com/datasheet/download/D18AP2WF.pdf")</f>
        <v>https://www.diodes.com/datasheet/download/D18AP2WF.pdf</v>
      </c>
      <c r="C72" t="str">
        <f>Hyperlink("https://www.diodes.com/part/view/D18AP2WF","D18AP2WF")</f>
        <v>D18AP2WF</v>
      </c>
      <c r="D72" t="s">
        <v>124</v>
      </c>
      <c r="E72" t="s">
        <v>18</v>
      </c>
      <c r="F72" t="s">
        <v>19</v>
      </c>
      <c r="G72">
        <v>1</v>
      </c>
      <c r="H72" t="s">
        <v>20</v>
      </c>
      <c r="J72">
        <v>18</v>
      </c>
      <c r="K72">
        <v>20</v>
      </c>
      <c r="M72">
        <v>7.71</v>
      </c>
      <c r="N72">
        <v>29.2</v>
      </c>
      <c r="O72" t="s">
        <v>21</v>
      </c>
      <c r="P72" t="s">
        <v>150</v>
      </c>
    </row>
    <row r="73" spans="1:16">
      <c r="A73" t="s">
        <v>151</v>
      </c>
      <c r="B73" s="2" t="str">
        <f>Hyperlink("https://www.diodes.com/datasheet/download/D18V0H1U2LP.pdf")</f>
        <v>https://www.diodes.com/datasheet/download/D18V0H1U2LP.pdf</v>
      </c>
      <c r="C73" t="str">
        <f>Hyperlink("https://www.diodes.com/part/view/D18V0H1U2LP","D18V0H1U2LP")</f>
        <v>D18V0H1U2LP</v>
      </c>
      <c r="D73" t="s">
        <v>152</v>
      </c>
      <c r="E73" t="s">
        <v>18</v>
      </c>
      <c r="F73" t="s">
        <v>19</v>
      </c>
      <c r="G73">
        <v>1</v>
      </c>
      <c r="H73" t="s">
        <v>20</v>
      </c>
      <c r="I73">
        <v>58</v>
      </c>
      <c r="J73">
        <v>18</v>
      </c>
      <c r="K73">
        <v>20</v>
      </c>
      <c r="L73">
        <v>0.1</v>
      </c>
      <c r="M73">
        <v>11</v>
      </c>
      <c r="N73">
        <v>32</v>
      </c>
      <c r="O73" t="s">
        <v>21</v>
      </c>
      <c r="P73" t="s">
        <v>22</v>
      </c>
    </row>
    <row r="74" spans="1:16">
      <c r="A74" t="s">
        <v>153</v>
      </c>
      <c r="B74" s="2" t="str">
        <f>Hyperlink("https://www.diodes.com/datasheet/download/D18V0L1B2LP.pdf")</f>
        <v>https://www.diodes.com/datasheet/download/D18V0L1B2LP.pdf</v>
      </c>
      <c r="C74" t="str">
        <f>Hyperlink("https://www.diodes.com/part/view/D18V0L1B2LP","D18V0L1B2LP")</f>
        <v>D18V0L1B2LP</v>
      </c>
      <c r="E74" t="s">
        <v>18</v>
      </c>
      <c r="F74" t="s">
        <v>19</v>
      </c>
      <c r="G74">
        <v>1</v>
      </c>
      <c r="H74" t="s">
        <v>28</v>
      </c>
      <c r="I74">
        <v>7</v>
      </c>
      <c r="J74">
        <v>18</v>
      </c>
      <c r="K74">
        <v>21</v>
      </c>
      <c r="M74">
        <v>2</v>
      </c>
      <c r="N74">
        <v>34</v>
      </c>
      <c r="O74" t="s">
        <v>154</v>
      </c>
      <c r="P74" t="s">
        <v>22</v>
      </c>
    </row>
    <row r="75" spans="1:16">
      <c r="A75" t="s">
        <v>155</v>
      </c>
      <c r="B75" s="2" t="str">
        <f>Hyperlink("https://www.diodes.com/datasheet/download/D18V0L1B2LPQ.pdf")</f>
        <v>https://www.diodes.com/datasheet/download/D18V0L1B2LPQ.pdf</v>
      </c>
      <c r="C75" t="str">
        <f>Hyperlink("https://www.diodes.com/part/view/D18V0L1B2LPQ","D18V0L1B2LPQ")</f>
        <v>D18V0L1B2LPQ</v>
      </c>
      <c r="D75" t="s">
        <v>156</v>
      </c>
      <c r="E75" t="s">
        <v>32</v>
      </c>
      <c r="F75" t="s">
        <v>33</v>
      </c>
      <c r="G75">
        <v>1</v>
      </c>
      <c r="H75" t="s">
        <v>28</v>
      </c>
      <c r="I75">
        <v>7</v>
      </c>
      <c r="J75">
        <v>20</v>
      </c>
      <c r="K75">
        <v>21</v>
      </c>
      <c r="M75">
        <v>2</v>
      </c>
      <c r="N75">
        <v>34</v>
      </c>
      <c r="O75" t="s">
        <v>154</v>
      </c>
      <c r="P75" t="s">
        <v>22</v>
      </c>
    </row>
    <row r="76" spans="1:16">
      <c r="A76" t="s">
        <v>157</v>
      </c>
      <c r="B76" s="2" t="str">
        <f>Hyperlink("https://www.diodes.com/datasheet/download/D12V0S1U2LP1610_D50V0S1U2LP1610.pdf")</f>
        <v>https://www.diodes.com/datasheet/download/D12V0S1U2LP1610_D50V0S1U2LP1610.pdf</v>
      </c>
      <c r="C76" t="str">
        <f>Hyperlink("https://www.diodes.com/part/view/D18V0S1U2LP1610","D18V0S1U2LP1610")</f>
        <v>D18V0S1U2LP1610</v>
      </c>
      <c r="D76" t="s">
        <v>24</v>
      </c>
      <c r="E76" t="s">
        <v>18</v>
      </c>
      <c r="F76" t="s">
        <v>19</v>
      </c>
      <c r="G76">
        <v>1</v>
      </c>
      <c r="H76" t="s">
        <v>20</v>
      </c>
      <c r="I76">
        <v>267</v>
      </c>
      <c r="J76">
        <v>18</v>
      </c>
      <c r="K76">
        <v>20</v>
      </c>
      <c r="M76">
        <v>45</v>
      </c>
      <c r="N76">
        <v>33</v>
      </c>
      <c r="O76" t="s">
        <v>21</v>
      </c>
      <c r="P76" t="s">
        <v>87</v>
      </c>
    </row>
    <row r="77" spans="1:16">
      <c r="A77" t="s">
        <v>158</v>
      </c>
      <c r="B77" s="2" t="str">
        <f>Hyperlink("https://www.diodes.com/datasheet/download/D7V5S1U3LP20-D48V0S1U3LP20.pdf")</f>
        <v>https://www.diodes.com/datasheet/download/D7V5S1U3LP20-D48V0S1U3LP20.pdf</v>
      </c>
      <c r="C77" t="str">
        <f>Hyperlink("https://www.diodes.com/part/view/D18V0S1U3LP20","D18V0S1U3LP20")</f>
        <v>D18V0S1U3LP20</v>
      </c>
      <c r="D77" t="s">
        <v>24</v>
      </c>
      <c r="E77" t="s">
        <v>18</v>
      </c>
      <c r="F77" t="s">
        <v>19</v>
      </c>
      <c r="G77">
        <v>1</v>
      </c>
      <c r="H77" t="s">
        <v>20</v>
      </c>
      <c r="I77">
        <v>880</v>
      </c>
      <c r="J77">
        <v>18</v>
      </c>
      <c r="K77">
        <v>20</v>
      </c>
      <c r="M77">
        <v>120</v>
      </c>
      <c r="N77">
        <v>33.3</v>
      </c>
      <c r="O77" t="s">
        <v>21</v>
      </c>
      <c r="P77" t="s">
        <v>25</v>
      </c>
    </row>
    <row r="78" spans="1:16">
      <c r="A78" t="s">
        <v>159</v>
      </c>
      <c r="B78" s="2" t="str">
        <f>Hyperlink("https://www.diodes.com/datasheet/download/D18V0X1B2LP.pdf")</f>
        <v>https://www.diodes.com/datasheet/download/D18V0X1B2LP.pdf</v>
      </c>
      <c r="C78" t="str">
        <f>Hyperlink("https://www.diodes.com/part/view/D18V0X1B2LP","D18V0X1B2LP")</f>
        <v>D18V0X1B2LP</v>
      </c>
      <c r="D78" t="s">
        <v>160</v>
      </c>
      <c r="E78" t="s">
        <v>18</v>
      </c>
      <c r="F78" t="s">
        <v>19</v>
      </c>
      <c r="G78">
        <v>1</v>
      </c>
      <c r="H78" t="s">
        <v>28</v>
      </c>
      <c r="I78">
        <v>0.5</v>
      </c>
      <c r="J78">
        <v>18</v>
      </c>
      <c r="K78">
        <v>19.7</v>
      </c>
      <c r="M78">
        <v>3</v>
      </c>
      <c r="N78">
        <v>36</v>
      </c>
      <c r="O78" t="s">
        <v>29</v>
      </c>
      <c r="P78" t="s">
        <v>22</v>
      </c>
    </row>
    <row r="79" spans="1:16">
      <c r="A79" t="s">
        <v>161</v>
      </c>
      <c r="B79" s="2" t="str">
        <f>Hyperlink("https://www.diodes.com/datasheet/download/DS43178.pdf")</f>
        <v>https://www.diodes.com/datasheet/download/DS43178.pdf</v>
      </c>
      <c r="C79" t="str">
        <f>Hyperlink("https://www.diodes.com/part/view/D18V0X1B2LP4Q","D18V0X1B2LP4Q")</f>
        <v>D18V0X1B2LP4Q</v>
      </c>
      <c r="D79" t="s">
        <v>31</v>
      </c>
      <c r="E79" t="s">
        <v>32</v>
      </c>
      <c r="F79" t="s">
        <v>33</v>
      </c>
      <c r="G79">
        <v>1</v>
      </c>
      <c r="H79" t="s">
        <v>28</v>
      </c>
      <c r="I79">
        <v>0.5</v>
      </c>
      <c r="J79">
        <v>18</v>
      </c>
      <c r="K79">
        <v>19.7</v>
      </c>
      <c r="M79">
        <v>3</v>
      </c>
      <c r="N79">
        <v>36</v>
      </c>
      <c r="O79" t="s">
        <v>29</v>
      </c>
      <c r="P79" t="s">
        <v>34</v>
      </c>
    </row>
    <row r="80" spans="1:16">
      <c r="A80" t="s">
        <v>162</v>
      </c>
      <c r="B80" s="2" t="str">
        <f>Hyperlink("https://www.diodes.com/datasheet/download/D18V0X1B2LPQ.pdf")</f>
        <v>https://www.diodes.com/datasheet/download/D18V0X1B2LPQ.pdf</v>
      </c>
      <c r="C80" t="str">
        <f>Hyperlink("https://www.diodes.com/part/view/D18V0X1B2LPQ","D18V0X1B2LPQ")</f>
        <v>D18V0X1B2LPQ</v>
      </c>
      <c r="D80" t="s">
        <v>163</v>
      </c>
      <c r="E80" t="s">
        <v>32</v>
      </c>
      <c r="F80" t="s">
        <v>33</v>
      </c>
      <c r="G80">
        <v>1</v>
      </c>
      <c r="H80" t="s">
        <v>28</v>
      </c>
      <c r="I80">
        <v>0.5</v>
      </c>
      <c r="J80">
        <v>18</v>
      </c>
      <c r="K80">
        <v>19.7</v>
      </c>
      <c r="M80">
        <v>3</v>
      </c>
      <c r="N80">
        <v>36</v>
      </c>
      <c r="O80" t="s">
        <v>29</v>
      </c>
      <c r="P80" t="s">
        <v>22</v>
      </c>
    </row>
    <row r="81" spans="1:16">
      <c r="A81" t="s">
        <v>164</v>
      </c>
      <c r="B81" s="2" t="str">
        <f>Hyperlink("https://www.diodes.com/datasheet/download/D18V0Z1B2LPQ.pdf")</f>
        <v>https://www.diodes.com/datasheet/download/D18V0Z1B2LPQ.pdf</v>
      </c>
      <c r="C81" t="str">
        <f>Hyperlink("https://www.diodes.com/part/view/D18V0Z1B2LPQ","D18V0Z1B2LPQ")</f>
        <v>D18V0Z1B2LPQ</v>
      </c>
      <c r="D81" t="s">
        <v>165</v>
      </c>
      <c r="E81" t="s">
        <v>32</v>
      </c>
      <c r="F81" t="s">
        <v>33</v>
      </c>
      <c r="G81">
        <v>1</v>
      </c>
      <c r="H81" t="s">
        <v>28</v>
      </c>
      <c r="I81">
        <v>0.25</v>
      </c>
      <c r="J81">
        <v>18</v>
      </c>
      <c r="K81">
        <v>19</v>
      </c>
      <c r="M81">
        <v>3</v>
      </c>
      <c r="N81">
        <v>40</v>
      </c>
      <c r="O81" t="s">
        <v>54</v>
      </c>
      <c r="P81" t="s">
        <v>22</v>
      </c>
    </row>
    <row r="82" spans="1:16">
      <c r="A82" t="s">
        <v>166</v>
      </c>
      <c r="B82" s="2" t="str">
        <f>Hyperlink("https://www.diodes.com/datasheet/download/D1V8L1BS2LP3.pdf")</f>
        <v>https://www.diodes.com/datasheet/download/D1V8L1BS2LP3.pdf</v>
      </c>
      <c r="C82" t="str">
        <f>Hyperlink("https://www.diodes.com/part/view/D1V8L1BS2LP3","D1V8L1BS2LP3")</f>
        <v>D1V8L1BS2LP3</v>
      </c>
      <c r="D82" t="s">
        <v>167</v>
      </c>
      <c r="E82" t="s">
        <v>18</v>
      </c>
      <c r="F82" t="s">
        <v>19</v>
      </c>
      <c r="G82">
        <v>1</v>
      </c>
      <c r="H82" t="s">
        <v>28</v>
      </c>
      <c r="I82">
        <v>32</v>
      </c>
      <c r="J82">
        <v>1.8</v>
      </c>
      <c r="K82">
        <v>2.1</v>
      </c>
      <c r="M82">
        <v>25</v>
      </c>
      <c r="O82" t="s">
        <v>21</v>
      </c>
      <c r="P82" t="s">
        <v>100</v>
      </c>
    </row>
    <row r="83" spans="1:16">
      <c r="A83" t="s">
        <v>168</v>
      </c>
      <c r="B83" s="2" t="str">
        <f>Hyperlink("https://www.diodes.com/datasheet/download/D1V8L1BS2LP3Q.pdf")</f>
        <v>https://www.diodes.com/datasheet/download/D1V8L1BS2LP3Q.pdf</v>
      </c>
      <c r="C83" t="str">
        <f>Hyperlink("https://www.diodes.com/part/view/D1V8L1BS2LP3Q","D1V8L1BS2LP3Q")</f>
        <v>D1V8L1BS2LP3Q</v>
      </c>
      <c r="D83" t="s">
        <v>169</v>
      </c>
      <c r="E83" t="s">
        <v>32</v>
      </c>
      <c r="F83" t="s">
        <v>33</v>
      </c>
      <c r="G83">
        <v>1</v>
      </c>
      <c r="H83" t="s">
        <v>28</v>
      </c>
      <c r="I83">
        <v>32</v>
      </c>
      <c r="J83">
        <v>1.8</v>
      </c>
      <c r="K83">
        <v>2.1</v>
      </c>
      <c r="M83">
        <v>22</v>
      </c>
      <c r="O83" t="s">
        <v>21</v>
      </c>
      <c r="P83" t="s">
        <v>100</v>
      </c>
    </row>
    <row r="84" spans="1:16">
      <c r="A84" t="s">
        <v>170</v>
      </c>
      <c r="B84" s="2" t="str">
        <f>Hyperlink("https://www.diodes.com/datasheet/download/D20V0H1U2LP.pdf")</f>
        <v>https://www.diodes.com/datasheet/download/D20V0H1U2LP.pdf</v>
      </c>
      <c r="C84" t="str">
        <f>Hyperlink("https://www.diodes.com/part/view/D20V0H1U2LP","D20V0H1U2LP")</f>
        <v>D20V0H1U2LP</v>
      </c>
      <c r="D84" t="s">
        <v>171</v>
      </c>
      <c r="E84" t="s">
        <v>18</v>
      </c>
      <c r="F84" t="s">
        <v>19</v>
      </c>
      <c r="G84">
        <v>1</v>
      </c>
      <c r="H84" t="s">
        <v>20</v>
      </c>
      <c r="I84">
        <v>55</v>
      </c>
      <c r="J84">
        <v>20</v>
      </c>
      <c r="K84">
        <v>22</v>
      </c>
      <c r="L84">
        <v>0.1</v>
      </c>
      <c r="M84">
        <v>10</v>
      </c>
      <c r="N84">
        <v>34</v>
      </c>
      <c r="O84" t="s">
        <v>21</v>
      </c>
      <c r="P84" t="s">
        <v>22</v>
      </c>
    </row>
    <row r="85" spans="1:16">
      <c r="A85" t="s">
        <v>172</v>
      </c>
      <c r="B85" s="2" t="str">
        <f>Hyperlink("https://www.diodes.com/datasheet/download/D20V0L1B2LP.pdf")</f>
        <v>https://www.diodes.com/datasheet/download/D20V0L1B2LP.pdf</v>
      </c>
      <c r="C85" t="str">
        <f>Hyperlink("https://www.diodes.com/part/view/D20V0L1B2LP","D20V0L1B2LP")</f>
        <v>D20V0L1B2LP</v>
      </c>
      <c r="D85" t="s">
        <v>173</v>
      </c>
      <c r="E85" t="s">
        <v>18</v>
      </c>
      <c r="F85" t="s">
        <v>33</v>
      </c>
      <c r="G85">
        <v>1</v>
      </c>
      <c r="H85" t="s">
        <v>28</v>
      </c>
      <c r="I85">
        <v>7</v>
      </c>
      <c r="J85">
        <v>20</v>
      </c>
      <c r="K85">
        <v>21</v>
      </c>
      <c r="M85">
        <v>2</v>
      </c>
      <c r="N85">
        <v>34</v>
      </c>
      <c r="O85" t="s">
        <v>154</v>
      </c>
      <c r="P85" t="s">
        <v>22</v>
      </c>
    </row>
    <row r="86" spans="1:16">
      <c r="A86" t="s">
        <v>174</v>
      </c>
      <c r="B86" s="2" t="str">
        <f>Hyperlink("https://www.diodes.com/datasheet/download/D20V0L1B2LP3.pdf")</f>
        <v>https://www.diodes.com/datasheet/download/D20V0L1B2LP3.pdf</v>
      </c>
      <c r="C86" t="str">
        <f>Hyperlink("https://www.diodes.com/part/view/D20V0L1B2LP3","D20V0L1B2LP3")</f>
        <v>D20V0L1B2LP3</v>
      </c>
      <c r="D86" t="s">
        <v>173</v>
      </c>
      <c r="E86" t="s">
        <v>18</v>
      </c>
      <c r="F86" t="s">
        <v>33</v>
      </c>
      <c r="G86">
        <v>1</v>
      </c>
      <c r="H86" t="s">
        <v>28</v>
      </c>
      <c r="I86">
        <v>6</v>
      </c>
      <c r="J86">
        <v>20</v>
      </c>
      <c r="K86">
        <v>21</v>
      </c>
      <c r="M86">
        <v>2.5</v>
      </c>
      <c r="N86">
        <v>32</v>
      </c>
      <c r="O86" t="s">
        <v>29</v>
      </c>
      <c r="P86" t="s">
        <v>175</v>
      </c>
    </row>
    <row r="87" spans="1:16">
      <c r="A87" t="s">
        <v>176</v>
      </c>
      <c r="B87" s="2" t="str">
        <f>Hyperlink("https://www.diodes.com/datasheet/download/D20V0L1B2WS.pdf")</f>
        <v>https://www.diodes.com/datasheet/download/D20V0L1B2WS.pdf</v>
      </c>
      <c r="C87" t="str">
        <f>Hyperlink("https://www.diodes.com/part/view/D20V0L1B2WS","D20V0L1B2WS")</f>
        <v>D20V0L1B2WS</v>
      </c>
      <c r="D87" t="s">
        <v>116</v>
      </c>
      <c r="E87" t="s">
        <v>18</v>
      </c>
      <c r="F87" t="s">
        <v>19</v>
      </c>
      <c r="G87">
        <v>1</v>
      </c>
      <c r="H87" t="s">
        <v>28</v>
      </c>
      <c r="I87">
        <v>10</v>
      </c>
      <c r="J87">
        <v>20</v>
      </c>
      <c r="K87">
        <v>21</v>
      </c>
      <c r="M87">
        <v>3</v>
      </c>
      <c r="N87">
        <v>30</v>
      </c>
      <c r="O87" t="s">
        <v>21</v>
      </c>
      <c r="P87" t="s">
        <v>51</v>
      </c>
    </row>
    <row r="88" spans="1:16">
      <c r="A88" t="s">
        <v>177</v>
      </c>
      <c r="B88" s="2" t="str">
        <f>Hyperlink("https://www.diodes.com/datasheet/download/D20V0L1B2WSQ.pdf")</f>
        <v>https://www.diodes.com/datasheet/download/D20V0L1B2WSQ.pdf</v>
      </c>
      <c r="C88" t="str">
        <f>Hyperlink("https://www.diodes.com/part/view/D20V0L1B2WSQ","D20V0L1B2WSQ")</f>
        <v>D20V0L1B2WSQ</v>
      </c>
      <c r="D88" t="s">
        <v>116</v>
      </c>
      <c r="E88" t="s">
        <v>32</v>
      </c>
      <c r="F88" t="s">
        <v>33</v>
      </c>
      <c r="G88">
        <v>1</v>
      </c>
      <c r="H88" t="s">
        <v>28</v>
      </c>
      <c r="I88">
        <v>10</v>
      </c>
      <c r="J88">
        <v>20</v>
      </c>
      <c r="K88">
        <v>21</v>
      </c>
      <c r="M88">
        <v>3</v>
      </c>
      <c r="N88">
        <v>30</v>
      </c>
      <c r="O88" t="s">
        <v>21</v>
      </c>
      <c r="P88" t="s">
        <v>51</v>
      </c>
    </row>
    <row r="89" spans="1:16">
      <c r="A89" t="s">
        <v>178</v>
      </c>
      <c r="B89" s="2" t="str">
        <f>Hyperlink("https://www.diodes.com/datasheet/download/D20V0M2U3LP4.pdf")</f>
        <v>https://www.diodes.com/datasheet/download/D20V0M2U3LP4.pdf</v>
      </c>
      <c r="C89" t="str">
        <f>Hyperlink("https://www.diodes.com/part/view/D20V0M2U3LP4","D20V0M2U3LP4")</f>
        <v>D20V0M2U3LP4</v>
      </c>
      <c r="D89" t="s">
        <v>179</v>
      </c>
      <c r="E89" t="s">
        <v>18</v>
      </c>
      <c r="F89" t="s">
        <v>19</v>
      </c>
      <c r="G89">
        <v>2</v>
      </c>
      <c r="H89" t="s">
        <v>56</v>
      </c>
      <c r="J89">
        <v>20</v>
      </c>
      <c r="K89">
        <v>21</v>
      </c>
      <c r="M89">
        <v>7</v>
      </c>
      <c r="N89">
        <v>43</v>
      </c>
      <c r="O89" t="s">
        <v>54</v>
      </c>
      <c r="P89" t="s">
        <v>180</v>
      </c>
    </row>
    <row r="90" spans="1:16">
      <c r="A90" t="s">
        <v>181</v>
      </c>
      <c r="B90" s="2" t="str">
        <f>Hyperlink("https://www.diodes.com/datasheet/download/D12V0S1U2LP1610_D50V0S1U2LP1610.pdf")</f>
        <v>https://www.diodes.com/datasheet/download/D12V0S1U2LP1610_D50V0S1U2LP1610.pdf</v>
      </c>
      <c r="C90" t="str">
        <f>Hyperlink("https://www.diodes.com/part/view/D20V0S1U2LP1610","D20V0S1U2LP1610")</f>
        <v>D20V0S1U2LP1610</v>
      </c>
      <c r="D90" t="s">
        <v>24</v>
      </c>
      <c r="E90" t="s">
        <v>18</v>
      </c>
      <c r="F90" t="s">
        <v>19</v>
      </c>
      <c r="G90">
        <v>1</v>
      </c>
      <c r="H90" t="s">
        <v>20</v>
      </c>
      <c r="I90">
        <v>242</v>
      </c>
      <c r="J90">
        <v>20</v>
      </c>
      <c r="K90">
        <v>22</v>
      </c>
      <c r="M90">
        <v>37</v>
      </c>
      <c r="N90">
        <v>36</v>
      </c>
      <c r="O90" t="s">
        <v>21</v>
      </c>
      <c r="P90" t="s">
        <v>87</v>
      </c>
    </row>
    <row r="91" spans="1:16">
      <c r="A91" t="s">
        <v>182</v>
      </c>
      <c r="B91" s="2" t="str">
        <f>Hyperlink("https://www.diodes.com/datasheet/download/D20V0S1U2LP1610Q.pdf")</f>
        <v>https://www.diodes.com/datasheet/download/D20V0S1U2LP1610Q.pdf</v>
      </c>
      <c r="C91" t="str">
        <f>Hyperlink("https://www.diodes.com/part/view/D20V0S1U2LP1610Q","D20V0S1U2LP1610Q")</f>
        <v>D20V0S1U2LP1610Q</v>
      </c>
      <c r="D91" t="s">
        <v>129</v>
      </c>
      <c r="E91" t="s">
        <v>32</v>
      </c>
      <c r="F91" t="s">
        <v>33</v>
      </c>
      <c r="G91">
        <v>1</v>
      </c>
      <c r="H91" t="s">
        <v>20</v>
      </c>
      <c r="I91">
        <v>242</v>
      </c>
      <c r="J91">
        <v>20</v>
      </c>
      <c r="K91">
        <v>22</v>
      </c>
      <c r="M91">
        <v>37</v>
      </c>
      <c r="N91">
        <v>36</v>
      </c>
      <c r="O91" t="s">
        <v>21</v>
      </c>
      <c r="P91" t="s">
        <v>87</v>
      </c>
    </row>
    <row r="92" spans="1:16">
      <c r="A92" t="s">
        <v>183</v>
      </c>
      <c r="B92" s="2" t="str">
        <f>Hyperlink("https://www.diodes.com/datasheet/download/D20V0S1U2LP20.pdf")</f>
        <v>https://www.diodes.com/datasheet/download/D20V0S1U2LP20.pdf</v>
      </c>
      <c r="C92" t="str">
        <f>Hyperlink("https://www.diodes.com/part/view/D20V0S1U2LP20","D20V0S1U2LP20")</f>
        <v>D20V0S1U2LP20</v>
      </c>
      <c r="D92" t="s">
        <v>184</v>
      </c>
      <c r="E92" t="s">
        <v>18</v>
      </c>
      <c r="F92" t="s">
        <v>19</v>
      </c>
      <c r="G92">
        <v>1</v>
      </c>
      <c r="H92" t="s">
        <v>20</v>
      </c>
      <c r="I92">
        <v>880</v>
      </c>
      <c r="J92">
        <v>20</v>
      </c>
      <c r="K92">
        <v>22</v>
      </c>
      <c r="M92">
        <v>120</v>
      </c>
      <c r="N92">
        <v>37</v>
      </c>
      <c r="O92" t="s">
        <v>21</v>
      </c>
      <c r="P92" t="s">
        <v>185</v>
      </c>
    </row>
    <row r="93" spans="1:16">
      <c r="A93" t="s">
        <v>186</v>
      </c>
      <c r="B93" s="2" t="str">
        <f>Hyperlink("https://www.diodes.com/datasheet/download/D7V5S1U3LP20-D48V0S1U3LP20.pdf")</f>
        <v>https://www.diodes.com/datasheet/download/D7V5S1U3LP20-D48V0S1U3LP20.pdf</v>
      </c>
      <c r="C93" t="str">
        <f>Hyperlink("https://www.diodes.com/part/view/D20V0S1U3LP20","D20V0S1U3LP20")</f>
        <v>D20V0S1U3LP20</v>
      </c>
      <c r="D93" t="s">
        <v>24</v>
      </c>
      <c r="E93" t="s">
        <v>18</v>
      </c>
      <c r="F93" t="s">
        <v>19</v>
      </c>
      <c r="G93">
        <v>1</v>
      </c>
      <c r="H93" t="s">
        <v>20</v>
      </c>
      <c r="I93">
        <v>785</v>
      </c>
      <c r="J93">
        <v>20</v>
      </c>
      <c r="K93">
        <v>22.2</v>
      </c>
      <c r="M93">
        <v>110</v>
      </c>
      <c r="N93">
        <v>36.4</v>
      </c>
      <c r="O93" t="s">
        <v>21</v>
      </c>
      <c r="P93" t="s">
        <v>25</v>
      </c>
    </row>
    <row r="94" spans="1:16">
      <c r="A94" t="s">
        <v>187</v>
      </c>
      <c r="B94" s="2" t="str">
        <f>Hyperlink("https://www.diodes.com/datasheet/download/D22V0H1U2LP.pdf")</f>
        <v>https://www.diodes.com/datasheet/download/D22V0H1U2LP.pdf</v>
      </c>
      <c r="C94" t="str">
        <f>Hyperlink("https://www.diodes.com/part/view/D22V0H1U2LP","D22V0H1U2LP")</f>
        <v>D22V0H1U2LP</v>
      </c>
      <c r="D94" t="s">
        <v>188</v>
      </c>
      <c r="E94" t="s">
        <v>18</v>
      </c>
      <c r="F94" t="s">
        <v>19</v>
      </c>
      <c r="G94">
        <v>1</v>
      </c>
      <c r="H94" t="s">
        <v>20</v>
      </c>
      <c r="I94">
        <v>50</v>
      </c>
      <c r="J94">
        <v>22</v>
      </c>
      <c r="K94">
        <v>23</v>
      </c>
      <c r="L94">
        <v>0.1</v>
      </c>
      <c r="M94">
        <v>10</v>
      </c>
      <c r="N94">
        <v>40</v>
      </c>
      <c r="O94" t="s">
        <v>21</v>
      </c>
      <c r="P94" t="s">
        <v>22</v>
      </c>
    </row>
    <row r="95" spans="1:16">
      <c r="A95" t="s">
        <v>189</v>
      </c>
      <c r="B95" s="2" t="str">
        <f>Hyperlink("https://www.diodes.com/datasheet/download/D22V0H1U2LP1610.pdf")</f>
        <v>https://www.diodes.com/datasheet/download/D22V0H1U2LP1610.pdf</v>
      </c>
      <c r="C95" t="str">
        <f>Hyperlink("https://www.diodes.com/part/view/D22V0H1U2LP1610","D22V0H1U2LP1610")</f>
        <v>D22V0H1U2LP1610</v>
      </c>
      <c r="D95" t="s">
        <v>129</v>
      </c>
      <c r="E95" t="s">
        <v>18</v>
      </c>
      <c r="F95" t="s">
        <v>33</v>
      </c>
      <c r="G95">
        <v>1</v>
      </c>
      <c r="H95" t="s">
        <v>20</v>
      </c>
      <c r="I95">
        <v>200</v>
      </c>
      <c r="J95">
        <v>22</v>
      </c>
      <c r="K95">
        <v>23.5</v>
      </c>
      <c r="M95">
        <v>28</v>
      </c>
      <c r="N95">
        <v>37</v>
      </c>
      <c r="O95" t="s">
        <v>21</v>
      </c>
      <c r="P95" t="s">
        <v>87</v>
      </c>
    </row>
    <row r="96" spans="1:16">
      <c r="A96" t="s">
        <v>190</v>
      </c>
      <c r="B96" s="2" t="str">
        <f>Hyperlink("https://www.diodes.com/datasheet/download/D22V0M1U2LP.pdf")</f>
        <v>https://www.diodes.com/datasheet/download/D22V0M1U2LP.pdf</v>
      </c>
      <c r="C96" t="str">
        <f>Hyperlink("https://www.diodes.com/part/view/D22V0M1U2LP","D22V0M1U2LP")</f>
        <v>D22V0M1U2LP</v>
      </c>
      <c r="D96" t="s">
        <v>191</v>
      </c>
      <c r="E96" t="s">
        <v>18</v>
      </c>
      <c r="F96" t="s">
        <v>19</v>
      </c>
      <c r="G96">
        <v>1</v>
      </c>
      <c r="H96" t="s">
        <v>20</v>
      </c>
      <c r="I96">
        <v>76</v>
      </c>
      <c r="J96">
        <v>22</v>
      </c>
      <c r="K96">
        <v>23.1</v>
      </c>
      <c r="M96">
        <v>8</v>
      </c>
      <c r="O96" t="s">
        <v>29</v>
      </c>
      <c r="P96" t="s">
        <v>22</v>
      </c>
    </row>
    <row r="97" spans="1:16">
      <c r="A97" t="s">
        <v>192</v>
      </c>
      <c r="B97" s="2" t="str">
        <f>Hyperlink("https://www.diodes.com/datasheet/download/D12V0S1U2LP1610_D50V0S1U2LP1610.pdf")</f>
        <v>https://www.diodes.com/datasheet/download/D12V0S1U2LP1610_D50V0S1U2LP1610.pdf</v>
      </c>
      <c r="C97" t="str">
        <f>Hyperlink("https://www.diodes.com/part/view/D22V0S1U2LP1610","D22V0S1U2LP1610")</f>
        <v>D22V0S1U2LP1610</v>
      </c>
      <c r="D97" t="s">
        <v>24</v>
      </c>
      <c r="E97" t="s">
        <v>18</v>
      </c>
      <c r="F97" t="s">
        <v>19</v>
      </c>
      <c r="G97">
        <v>1</v>
      </c>
      <c r="H97" t="s">
        <v>20</v>
      </c>
      <c r="I97">
        <v>226</v>
      </c>
      <c r="J97">
        <v>22</v>
      </c>
      <c r="K97">
        <v>24</v>
      </c>
      <c r="M97">
        <v>32</v>
      </c>
      <c r="N97">
        <v>38</v>
      </c>
      <c r="O97" t="s">
        <v>21</v>
      </c>
      <c r="P97" t="s">
        <v>87</v>
      </c>
    </row>
    <row r="98" spans="1:16">
      <c r="A98" t="s">
        <v>193</v>
      </c>
      <c r="B98" s="2" t="str">
        <f>Hyperlink("https://www.diodes.com/datasheet/download/D22V0S1U2LP20.pdf")</f>
        <v>https://www.diodes.com/datasheet/download/D22V0S1U2LP20.pdf</v>
      </c>
      <c r="C98" t="str">
        <f>Hyperlink("https://www.diodes.com/part/view/D22V0S1U2LP20","D22V0S1U2LP20")</f>
        <v>D22V0S1U2LP20</v>
      </c>
      <c r="D98" t="s">
        <v>184</v>
      </c>
      <c r="E98" t="s">
        <v>18</v>
      </c>
      <c r="F98" t="s">
        <v>19</v>
      </c>
      <c r="G98">
        <v>1</v>
      </c>
      <c r="H98" t="s">
        <v>20</v>
      </c>
      <c r="I98">
        <v>690</v>
      </c>
      <c r="J98">
        <v>22</v>
      </c>
      <c r="K98">
        <v>24</v>
      </c>
      <c r="M98">
        <v>100</v>
      </c>
      <c r="N98">
        <v>40</v>
      </c>
      <c r="O98" t="s">
        <v>21</v>
      </c>
      <c r="P98" t="s">
        <v>185</v>
      </c>
    </row>
    <row r="99" spans="1:16">
      <c r="A99" t="s">
        <v>194</v>
      </c>
      <c r="B99" s="2" t="str">
        <f>Hyperlink("https://www.diodes.com/datasheet/download/D22V0S1U2WS.pdf")</f>
        <v>https://www.diodes.com/datasheet/download/D22V0S1U2WS.pdf</v>
      </c>
      <c r="C99" t="str">
        <f>Hyperlink("https://www.diodes.com/part/view/D22V0S1U2WS","D22V0S1U2WS")</f>
        <v>D22V0S1U2WS</v>
      </c>
      <c r="D99" t="s">
        <v>127</v>
      </c>
      <c r="E99" t="s">
        <v>18</v>
      </c>
      <c r="F99" t="s">
        <v>19</v>
      </c>
      <c r="G99">
        <v>1</v>
      </c>
      <c r="H99" t="s">
        <v>20</v>
      </c>
      <c r="I99">
        <v>220</v>
      </c>
      <c r="J99">
        <v>22</v>
      </c>
      <c r="K99">
        <v>24</v>
      </c>
      <c r="M99">
        <v>30</v>
      </c>
      <c r="N99">
        <v>37</v>
      </c>
      <c r="O99" t="s">
        <v>21</v>
      </c>
      <c r="P99" t="s">
        <v>51</v>
      </c>
    </row>
    <row r="100" spans="1:16">
      <c r="A100" t="s">
        <v>195</v>
      </c>
      <c r="B100" s="2" t="str">
        <f>Hyperlink("https://www.diodes.com/datasheet/download/D7V5S1U3LP20-D48V0S1U3LP20.pdf")</f>
        <v>https://www.diodes.com/datasheet/download/D7V5S1U3LP20-D48V0S1U3LP20.pdf</v>
      </c>
      <c r="C100" t="str">
        <f>Hyperlink("https://www.diodes.com/part/view/D22V0S1U3LP20","D22V0S1U3LP20")</f>
        <v>D22V0S1U3LP20</v>
      </c>
      <c r="D100" t="s">
        <v>24</v>
      </c>
      <c r="E100" t="s">
        <v>18</v>
      </c>
      <c r="F100" t="s">
        <v>19</v>
      </c>
      <c r="G100">
        <v>1</v>
      </c>
      <c r="H100" t="s">
        <v>20</v>
      </c>
      <c r="I100">
        <v>727</v>
      </c>
      <c r="J100">
        <v>22</v>
      </c>
      <c r="K100">
        <v>24.4</v>
      </c>
      <c r="M100">
        <v>98</v>
      </c>
      <c r="N100">
        <v>40.8</v>
      </c>
      <c r="O100" t="s">
        <v>21</v>
      </c>
      <c r="P100" t="s">
        <v>25</v>
      </c>
    </row>
    <row r="101" spans="1:16">
      <c r="A101" t="s">
        <v>196</v>
      </c>
      <c r="B101" s="2" t="str">
        <f>Hyperlink("https://www.diodes.com/datasheet/download/D22V0S1U6LP2018.pdf")</f>
        <v>https://www.diodes.com/datasheet/download/D22V0S1U6LP2018.pdf</v>
      </c>
      <c r="C101" t="str">
        <f>Hyperlink("https://www.diodes.com/part/view/D22V0S1U6LP2018","D22V0S1U6LP2018")</f>
        <v>D22V0S1U6LP2018</v>
      </c>
      <c r="D101" t="s">
        <v>17</v>
      </c>
      <c r="E101" t="s">
        <v>18</v>
      </c>
      <c r="F101" t="s">
        <v>19</v>
      </c>
      <c r="G101">
        <v>1</v>
      </c>
      <c r="H101" t="s">
        <v>20</v>
      </c>
      <c r="I101">
        <v>900</v>
      </c>
      <c r="J101">
        <v>22</v>
      </c>
      <c r="K101">
        <v>24</v>
      </c>
      <c r="M101">
        <v>130</v>
      </c>
      <c r="N101">
        <v>42</v>
      </c>
      <c r="O101" t="s">
        <v>21</v>
      </c>
      <c r="P101" t="s">
        <v>197</v>
      </c>
    </row>
    <row r="102" spans="1:16">
      <c r="A102" t="s">
        <v>198</v>
      </c>
      <c r="B102" s="2" t="str">
        <f>Hyperlink("https://www.diodes.com/datasheet/download/D24V0F2U3WQ.pdf")</f>
        <v>https://www.diodes.com/datasheet/download/D24V0F2U3WQ.pdf</v>
      </c>
      <c r="C102" t="str">
        <f>Hyperlink("https://www.diodes.com/part/view/D24V0F2U3WQ","D24V0F2U3WQ")</f>
        <v>D24V0F2U3WQ</v>
      </c>
      <c r="D102" t="s">
        <v>64</v>
      </c>
      <c r="E102" t="s">
        <v>32</v>
      </c>
      <c r="F102" t="s">
        <v>33</v>
      </c>
      <c r="G102">
        <v>2</v>
      </c>
      <c r="H102" t="s">
        <v>56</v>
      </c>
      <c r="I102">
        <v>0.8</v>
      </c>
      <c r="J102">
        <v>24</v>
      </c>
      <c r="K102">
        <v>27</v>
      </c>
      <c r="M102">
        <v>2.5</v>
      </c>
      <c r="N102">
        <v>50</v>
      </c>
      <c r="O102" t="s">
        <v>199</v>
      </c>
      <c r="P102" t="s">
        <v>48</v>
      </c>
    </row>
    <row r="103" spans="1:16">
      <c r="A103" t="s">
        <v>200</v>
      </c>
      <c r="B103" s="2" t="str">
        <f>Hyperlink("https://www.diodes.com/datasheet/download/D24V0H1U2LP.pdf")</f>
        <v>https://www.diodes.com/datasheet/download/D24V0H1U2LP.pdf</v>
      </c>
      <c r="C103" t="str">
        <f>Hyperlink("https://www.diodes.com/part/view/D24V0H1U2LP","D24V0H1U2LP")</f>
        <v>D24V0H1U2LP</v>
      </c>
      <c r="D103" t="s">
        <v>201</v>
      </c>
      <c r="E103" t="s">
        <v>18</v>
      </c>
      <c r="F103" t="s">
        <v>19</v>
      </c>
      <c r="G103">
        <v>1</v>
      </c>
      <c r="H103" t="s">
        <v>20</v>
      </c>
      <c r="I103">
        <v>47</v>
      </c>
      <c r="J103">
        <v>24</v>
      </c>
      <c r="K103">
        <v>25</v>
      </c>
      <c r="L103">
        <v>0.1</v>
      </c>
      <c r="M103">
        <v>9</v>
      </c>
      <c r="N103">
        <v>42</v>
      </c>
      <c r="O103" t="s">
        <v>21</v>
      </c>
      <c r="P103" t="s">
        <v>22</v>
      </c>
    </row>
    <row r="104" spans="1:16">
      <c r="A104" t="s">
        <v>202</v>
      </c>
      <c r="B104" s="2" t="str">
        <f>Hyperlink("https://www.diodes.com/datasheet/download/D24V0H2U3SO.pdf")</f>
        <v>https://www.diodes.com/datasheet/download/D24V0H2U3SO.pdf</v>
      </c>
      <c r="C104" t="str">
        <f>Hyperlink("https://www.diodes.com/part/view/D24V0H2U3SO","D24V0H2U3SO")</f>
        <v>D24V0H2U3SO</v>
      </c>
      <c r="D104" t="s">
        <v>91</v>
      </c>
      <c r="E104" t="s">
        <v>18</v>
      </c>
      <c r="F104" t="s">
        <v>19</v>
      </c>
      <c r="G104">
        <v>2</v>
      </c>
      <c r="H104" t="s">
        <v>56</v>
      </c>
      <c r="I104">
        <v>30</v>
      </c>
      <c r="J104">
        <v>24</v>
      </c>
      <c r="K104">
        <v>26.7</v>
      </c>
      <c r="M104">
        <v>4</v>
      </c>
      <c r="N104">
        <v>43</v>
      </c>
      <c r="O104" t="s">
        <v>21</v>
      </c>
      <c r="P104" t="s">
        <v>43</v>
      </c>
    </row>
    <row r="105" spans="1:16">
      <c r="A105" t="s">
        <v>203</v>
      </c>
      <c r="B105" s="2" t="str">
        <f>Hyperlink("https://www.diodes.com/datasheet/download/D24V0L1B2LP.pdf")</f>
        <v>https://www.diodes.com/datasheet/download/D24V0L1B2LP.pdf</v>
      </c>
      <c r="C105" t="str">
        <f>Hyperlink("https://www.diodes.com/part/view/D24V0L1B2LP","D24V0L1B2LP")</f>
        <v>D24V0L1B2LP</v>
      </c>
      <c r="D105" t="s">
        <v>204</v>
      </c>
      <c r="E105" t="s">
        <v>18</v>
      </c>
      <c r="F105" t="s">
        <v>33</v>
      </c>
      <c r="G105">
        <v>1</v>
      </c>
      <c r="H105" t="s">
        <v>28</v>
      </c>
      <c r="I105">
        <v>6</v>
      </c>
      <c r="J105">
        <v>24</v>
      </c>
      <c r="K105">
        <v>26</v>
      </c>
      <c r="M105">
        <v>2</v>
      </c>
      <c r="N105">
        <v>46</v>
      </c>
      <c r="O105" t="s">
        <v>29</v>
      </c>
      <c r="P105" t="s">
        <v>22</v>
      </c>
    </row>
    <row r="106" spans="1:16">
      <c r="A106" t="s">
        <v>205</v>
      </c>
      <c r="B106" s="2" t="str">
        <f>Hyperlink("https://www.diodes.com/datasheet/download/D24V0L1B2LPS.pdf")</f>
        <v>https://www.diodes.com/datasheet/download/D24V0L1B2LPS.pdf</v>
      </c>
      <c r="C106" t="str">
        <f>Hyperlink("https://www.diodes.com/part/view/D24V0L1B2LPS","D24V0L1B2LPS")</f>
        <v>D24V0L1B2LPS</v>
      </c>
      <c r="E106" t="s">
        <v>18</v>
      </c>
      <c r="F106" t="s">
        <v>19</v>
      </c>
      <c r="G106">
        <v>1</v>
      </c>
      <c r="H106" t="s">
        <v>28</v>
      </c>
      <c r="I106">
        <v>6</v>
      </c>
      <c r="J106">
        <v>24</v>
      </c>
      <c r="K106">
        <v>26</v>
      </c>
      <c r="M106">
        <v>2</v>
      </c>
      <c r="N106">
        <v>46</v>
      </c>
      <c r="O106" t="s">
        <v>29</v>
      </c>
      <c r="P106" t="s">
        <v>206</v>
      </c>
    </row>
    <row r="107" spans="1:16">
      <c r="A107" t="s">
        <v>207</v>
      </c>
      <c r="B107" s="2" t="str">
        <f>Hyperlink("https://www.diodes.com/datasheet/download/D24V0L1B2LPSQ.pdf")</f>
        <v>https://www.diodes.com/datasheet/download/D24V0L1B2LPSQ.pdf</v>
      </c>
      <c r="C107" t="str">
        <f>Hyperlink("https://www.diodes.com/part/view/D24V0L1B2LPSQ","D24V0L1B2LPSQ")</f>
        <v>D24V0L1B2LPSQ</v>
      </c>
      <c r="D107" t="s">
        <v>204</v>
      </c>
      <c r="E107" t="s">
        <v>32</v>
      </c>
      <c r="F107" t="s">
        <v>33</v>
      </c>
      <c r="G107">
        <v>1</v>
      </c>
      <c r="H107" t="s">
        <v>28</v>
      </c>
      <c r="I107">
        <v>6</v>
      </c>
      <c r="J107">
        <v>24</v>
      </c>
      <c r="K107">
        <v>26</v>
      </c>
      <c r="M107">
        <v>2</v>
      </c>
      <c r="N107">
        <v>46</v>
      </c>
      <c r="O107" t="s">
        <v>29</v>
      </c>
      <c r="P107" t="s">
        <v>206</v>
      </c>
    </row>
    <row r="108" spans="1:16">
      <c r="A108" t="s">
        <v>208</v>
      </c>
      <c r="B108" s="2" t="str">
        <f>Hyperlink("https://www.diodes.com/datasheet/download/D24V0LA1B2LPQ.pdf")</f>
        <v>https://www.diodes.com/datasheet/download/D24V0LA1B2LPQ.pdf</v>
      </c>
      <c r="C108" t="str">
        <f>Hyperlink("https://www.diodes.com/part/view/D24V0LA1B2LPQ","D24V0LA1B2LPQ")</f>
        <v>D24V0LA1B2LPQ</v>
      </c>
      <c r="D108" t="s">
        <v>204</v>
      </c>
      <c r="E108" t="s">
        <v>32</v>
      </c>
      <c r="F108" t="s">
        <v>33</v>
      </c>
      <c r="G108">
        <v>1</v>
      </c>
      <c r="H108" t="s">
        <v>28</v>
      </c>
      <c r="I108">
        <v>15.6</v>
      </c>
      <c r="J108">
        <v>24</v>
      </c>
      <c r="K108">
        <v>25</v>
      </c>
      <c r="M108">
        <v>5</v>
      </c>
      <c r="N108">
        <v>46</v>
      </c>
      <c r="O108" t="s">
        <v>21</v>
      </c>
      <c r="P108" t="s">
        <v>22</v>
      </c>
    </row>
    <row r="109" spans="1:16">
      <c r="A109" t="s">
        <v>209</v>
      </c>
      <c r="B109" s="2" t="str">
        <f>Hyperlink("https://www.diodes.com/datasheet/download/D24V0P1BS2TQ.pdf")</f>
        <v>https://www.diodes.com/datasheet/download/D24V0P1BS2TQ.pdf</v>
      </c>
      <c r="C109" t="str">
        <f>Hyperlink("https://www.diodes.com/part/view/D24V0P1BS2TQ","D24V0P1BS2TQ")</f>
        <v>D24V0P1BS2TQ</v>
      </c>
      <c r="D109" t="s">
        <v>210</v>
      </c>
      <c r="E109" t="s">
        <v>32</v>
      </c>
      <c r="F109" t="s">
        <v>33</v>
      </c>
      <c r="G109">
        <v>1</v>
      </c>
      <c r="H109" t="s">
        <v>28</v>
      </c>
      <c r="I109">
        <v>2.4</v>
      </c>
      <c r="J109">
        <v>24</v>
      </c>
      <c r="K109">
        <v>26</v>
      </c>
      <c r="M109">
        <v>3.5</v>
      </c>
      <c r="N109">
        <v>40</v>
      </c>
      <c r="O109" t="s">
        <v>21</v>
      </c>
      <c r="P109" t="s">
        <v>45</v>
      </c>
    </row>
    <row r="110" spans="1:16">
      <c r="A110" t="s">
        <v>211</v>
      </c>
      <c r="B110" s="2" t="str">
        <f>Hyperlink("https://www.diodes.com/datasheet/download/D24V0S1B2TQ.pdf")</f>
        <v>https://www.diodes.com/datasheet/download/D24V0S1B2TQ.pdf</v>
      </c>
      <c r="C110" t="str">
        <f>Hyperlink("https://www.diodes.com/part/view/D24V0S1B2TQ","D24V0S1B2TQ")</f>
        <v>D24V0S1B2TQ</v>
      </c>
      <c r="D110" t="s">
        <v>212</v>
      </c>
      <c r="E110" t="s">
        <v>32</v>
      </c>
      <c r="F110" t="s">
        <v>33</v>
      </c>
      <c r="G110">
        <v>1</v>
      </c>
      <c r="H110" t="s">
        <v>28</v>
      </c>
      <c r="I110">
        <v>17.3</v>
      </c>
      <c r="J110">
        <v>24</v>
      </c>
      <c r="K110">
        <v>28.9</v>
      </c>
      <c r="M110">
        <v>6</v>
      </c>
      <c r="N110">
        <v>60</v>
      </c>
      <c r="O110" t="s">
        <v>213</v>
      </c>
      <c r="P110" t="s">
        <v>45</v>
      </c>
    </row>
    <row r="111" spans="1:16">
      <c r="A111" t="s">
        <v>214</v>
      </c>
      <c r="B111" s="2" t="str">
        <f>Hyperlink("https://www.diodes.com/datasheet/download/D12V0S1U2LP1610_D50V0S1U2LP1610.pdf")</f>
        <v>https://www.diodes.com/datasheet/download/D12V0S1U2LP1610_D50V0S1U2LP1610.pdf</v>
      </c>
      <c r="C111" t="str">
        <f>Hyperlink("https://www.diodes.com/part/view/D24V0S1U2LP1610","D24V0S1U2LP1610")</f>
        <v>D24V0S1U2LP1610</v>
      </c>
      <c r="D111" t="s">
        <v>24</v>
      </c>
      <c r="E111" t="s">
        <v>18</v>
      </c>
      <c r="F111" t="s">
        <v>19</v>
      </c>
      <c r="G111">
        <v>1</v>
      </c>
      <c r="H111" t="s">
        <v>20</v>
      </c>
      <c r="I111">
        <v>210</v>
      </c>
      <c r="J111">
        <v>24</v>
      </c>
      <c r="K111">
        <v>26</v>
      </c>
      <c r="M111">
        <v>31</v>
      </c>
      <c r="N111">
        <v>42</v>
      </c>
      <c r="O111" t="s">
        <v>21</v>
      </c>
      <c r="P111" t="s">
        <v>87</v>
      </c>
    </row>
    <row r="112" spans="1:16">
      <c r="A112" t="s">
        <v>215</v>
      </c>
      <c r="B112" s="2" t="str">
        <f>Hyperlink("https://www.diodes.com/datasheet/download/D24V0S1U2LP1610Q.pdf")</f>
        <v>https://www.diodes.com/datasheet/download/D24V0S1U2LP1610Q.pdf</v>
      </c>
      <c r="C112" t="str">
        <f>Hyperlink("https://www.diodes.com/part/view/D24V0S1U2LP1610Q","D24V0S1U2LP1610Q")</f>
        <v>D24V0S1U2LP1610Q</v>
      </c>
      <c r="D112" t="s">
        <v>129</v>
      </c>
      <c r="E112" t="s">
        <v>32</v>
      </c>
      <c r="F112" t="s">
        <v>33</v>
      </c>
      <c r="G112">
        <v>1</v>
      </c>
      <c r="H112" t="s">
        <v>20</v>
      </c>
      <c r="I112">
        <v>210</v>
      </c>
      <c r="J112">
        <v>24</v>
      </c>
      <c r="K112">
        <v>26</v>
      </c>
      <c r="M112">
        <v>31</v>
      </c>
      <c r="N112">
        <v>42</v>
      </c>
      <c r="O112" t="s">
        <v>21</v>
      </c>
      <c r="P112" t="s">
        <v>87</v>
      </c>
    </row>
    <row r="113" spans="1:16">
      <c r="A113" t="s">
        <v>216</v>
      </c>
      <c r="B113" s="2" t="str">
        <f>Hyperlink("https://www.diodes.com/datasheet/download/D24V0S1U2T.pdf")</f>
        <v>https://www.diodes.com/datasheet/download/D24V0S1U2T.pdf</v>
      </c>
      <c r="C113" t="str">
        <f>Hyperlink("https://www.diodes.com/part/view/D24V0S1U2T","D24V0S1U2T")</f>
        <v>D24V0S1U2T</v>
      </c>
      <c r="D113" t="s">
        <v>217</v>
      </c>
      <c r="E113" t="s">
        <v>18</v>
      </c>
      <c r="F113" t="s">
        <v>19</v>
      </c>
      <c r="G113">
        <v>1</v>
      </c>
      <c r="H113" t="s">
        <v>20</v>
      </c>
      <c r="I113">
        <v>35</v>
      </c>
      <c r="J113">
        <v>24</v>
      </c>
      <c r="K113">
        <v>27</v>
      </c>
      <c r="M113">
        <v>6</v>
      </c>
      <c r="N113">
        <v>60</v>
      </c>
      <c r="O113" t="s">
        <v>154</v>
      </c>
      <c r="P113" t="s">
        <v>45</v>
      </c>
    </row>
    <row r="114" spans="1:16">
      <c r="A114" t="s">
        <v>218</v>
      </c>
      <c r="B114" s="2" t="str">
        <f>Hyperlink("https://www.diodes.com/datasheet/download/D24V0S1U2TQ.pdf")</f>
        <v>https://www.diodes.com/datasheet/download/D24V0S1U2TQ.pdf</v>
      </c>
      <c r="C114" t="str">
        <f>Hyperlink("https://www.diodes.com/part/view/D24V0S1U2TQ","D24V0S1U2TQ")</f>
        <v>D24V0S1U2TQ</v>
      </c>
      <c r="D114" t="s">
        <v>219</v>
      </c>
      <c r="E114" t="s">
        <v>32</v>
      </c>
      <c r="F114" t="s">
        <v>33</v>
      </c>
      <c r="G114">
        <v>1</v>
      </c>
      <c r="H114" t="s">
        <v>20</v>
      </c>
      <c r="I114">
        <v>35</v>
      </c>
      <c r="J114">
        <v>24</v>
      </c>
      <c r="K114">
        <v>27</v>
      </c>
      <c r="M114">
        <v>6</v>
      </c>
      <c r="N114">
        <v>60</v>
      </c>
      <c r="O114" t="s">
        <v>21</v>
      </c>
      <c r="P114" t="s">
        <v>45</v>
      </c>
    </row>
    <row r="115" spans="1:16">
      <c r="A115" t="s">
        <v>220</v>
      </c>
      <c r="B115" s="2" t="str">
        <f>Hyperlink("https://www.diodes.com/datasheet/download/D7V5S1U3LP20-D48V0S1U3LP20.pdf")</f>
        <v>https://www.diodes.com/datasheet/download/D7V5S1U3LP20-D48V0S1U3LP20.pdf</v>
      </c>
      <c r="C115" t="str">
        <f>Hyperlink("https://www.diodes.com/part/view/D24V0S1U3LP20","D24V0S1U3LP20")</f>
        <v>D24V0S1U3LP20</v>
      </c>
      <c r="D115" t="s">
        <v>24</v>
      </c>
      <c r="E115" t="s">
        <v>18</v>
      </c>
      <c r="F115" t="s">
        <v>19</v>
      </c>
      <c r="G115">
        <v>1</v>
      </c>
      <c r="H115" t="s">
        <v>20</v>
      </c>
      <c r="I115">
        <v>667</v>
      </c>
      <c r="J115">
        <v>24</v>
      </c>
      <c r="K115">
        <v>26.7</v>
      </c>
      <c r="M115">
        <v>90</v>
      </c>
      <c r="N115">
        <v>44.4</v>
      </c>
      <c r="O115" t="s">
        <v>21</v>
      </c>
      <c r="P115" t="s">
        <v>25</v>
      </c>
    </row>
    <row r="116" spans="1:16">
      <c r="A116" t="s">
        <v>221</v>
      </c>
      <c r="B116" s="2" t="str">
        <f>Hyperlink("https://www.diodes.com/datasheet/download/D24V0S1UG3LP20.pdf")</f>
        <v>https://www.diodes.com/datasheet/download/D24V0S1UG3LP20.pdf</v>
      </c>
      <c r="C116" t="str">
        <f>Hyperlink("https://www.diodes.com/part/view/D24V0S1UG3LP20","D24V0S1UG3LP20")</f>
        <v>D24V0S1UG3LP20</v>
      </c>
      <c r="D116" t="s">
        <v>129</v>
      </c>
      <c r="E116" t="s">
        <v>18</v>
      </c>
      <c r="F116" t="s">
        <v>19</v>
      </c>
      <c r="G116">
        <v>1</v>
      </c>
      <c r="H116" t="s">
        <v>20</v>
      </c>
      <c r="I116">
        <v>630</v>
      </c>
      <c r="J116">
        <v>24</v>
      </c>
      <c r="K116">
        <v>25</v>
      </c>
      <c r="M116">
        <v>200</v>
      </c>
      <c r="N116">
        <v>32</v>
      </c>
      <c r="O116" t="s">
        <v>21</v>
      </c>
      <c r="P116" t="s">
        <v>222</v>
      </c>
    </row>
    <row r="117" spans="1:16">
      <c r="A117" t="s">
        <v>223</v>
      </c>
      <c r="B117" s="2" t="str">
        <f>Hyperlink("https://www.diodes.com/datasheet/download/D24V0X1B2LP.pdf")</f>
        <v>https://www.diodes.com/datasheet/download/D24V0X1B2LP.pdf</v>
      </c>
      <c r="C117" t="str">
        <f>Hyperlink("https://www.diodes.com/part/view/D24V0X1B2LP","D24V0X1B2LP")</f>
        <v>D24V0X1B2LP</v>
      </c>
      <c r="D117" t="s">
        <v>224</v>
      </c>
      <c r="E117" t="s">
        <v>18</v>
      </c>
      <c r="F117" t="s">
        <v>33</v>
      </c>
      <c r="G117">
        <v>1</v>
      </c>
      <c r="H117" t="s">
        <v>28</v>
      </c>
      <c r="I117">
        <v>0.5</v>
      </c>
      <c r="J117">
        <v>24</v>
      </c>
      <c r="K117">
        <v>26</v>
      </c>
      <c r="M117">
        <v>2.5</v>
      </c>
      <c r="N117">
        <v>44</v>
      </c>
      <c r="O117" t="s">
        <v>225</v>
      </c>
      <c r="P117" t="s">
        <v>22</v>
      </c>
    </row>
    <row r="118" spans="1:16">
      <c r="A118" t="s">
        <v>226</v>
      </c>
      <c r="B118" s="2" t="str">
        <f>Hyperlink("https://www.diodes.com/datasheet/download/D24V0X1B2LP4Q.pdf")</f>
        <v>https://www.diodes.com/datasheet/download/D24V0X1B2LP4Q.pdf</v>
      </c>
      <c r="C118" t="str">
        <f>Hyperlink("https://www.diodes.com/part/view/D24V0X1B2LP4Q","D24V0X1B2LP4Q")</f>
        <v>D24V0X1B2LP4Q</v>
      </c>
      <c r="D118" t="s">
        <v>227</v>
      </c>
      <c r="E118" t="s">
        <v>32</v>
      </c>
      <c r="F118" t="s">
        <v>33</v>
      </c>
      <c r="G118">
        <v>1</v>
      </c>
      <c r="H118" t="s">
        <v>28</v>
      </c>
      <c r="I118">
        <v>0.5</v>
      </c>
      <c r="J118">
        <v>24</v>
      </c>
      <c r="K118">
        <v>26</v>
      </c>
      <c r="M118">
        <v>2.5</v>
      </c>
      <c r="O118" t="s">
        <v>29</v>
      </c>
      <c r="P118" t="s">
        <v>22</v>
      </c>
    </row>
    <row r="119" spans="1:16">
      <c r="A119" t="s">
        <v>228</v>
      </c>
      <c r="B119" s="2" t="str">
        <f>Hyperlink("https://www.diodes.com/datasheet/download/D24V0X1B2LPQ.pdf")</f>
        <v>https://www.diodes.com/datasheet/download/D24V0X1B2LPQ.pdf</v>
      </c>
      <c r="C119" t="str">
        <f>Hyperlink("https://www.diodes.com/part/view/D24V0X1B2LPQ","D24V0X1B2LPQ")</f>
        <v>D24V0X1B2LPQ</v>
      </c>
      <c r="D119" t="s">
        <v>227</v>
      </c>
      <c r="E119" t="s">
        <v>32</v>
      </c>
      <c r="F119" t="s">
        <v>33</v>
      </c>
      <c r="G119">
        <v>1</v>
      </c>
      <c r="H119" t="s">
        <v>28</v>
      </c>
      <c r="I119">
        <v>0.5</v>
      </c>
      <c r="J119">
        <v>24</v>
      </c>
      <c r="K119">
        <v>26</v>
      </c>
      <c r="M119">
        <v>2.5</v>
      </c>
      <c r="O119" t="s">
        <v>29</v>
      </c>
      <c r="P119" t="s">
        <v>22</v>
      </c>
    </row>
    <row r="120" spans="1:16">
      <c r="A120" t="s">
        <v>229</v>
      </c>
      <c r="B120" s="2" t="str">
        <f>Hyperlink("https://www.diodes.com/datasheet/download/D26V0H1U2LP16.pdf")</f>
        <v>https://www.diodes.com/datasheet/download/D26V0H1U2LP16.pdf</v>
      </c>
      <c r="C120" t="str">
        <f>Hyperlink("https://www.diodes.com/part/view/D26V0H1U2LP16","D26V0H1U2LP16")</f>
        <v>D26V0H1U2LP16</v>
      </c>
      <c r="D120" t="s">
        <v>230</v>
      </c>
      <c r="E120" t="s">
        <v>18</v>
      </c>
      <c r="F120" t="s">
        <v>19</v>
      </c>
      <c r="G120">
        <v>1</v>
      </c>
      <c r="H120" t="s">
        <v>20</v>
      </c>
      <c r="I120">
        <v>400</v>
      </c>
      <c r="J120">
        <v>26</v>
      </c>
      <c r="K120">
        <v>28</v>
      </c>
      <c r="M120">
        <v>50</v>
      </c>
      <c r="N120">
        <v>44</v>
      </c>
      <c r="O120" t="s">
        <v>21</v>
      </c>
      <c r="P120" t="s">
        <v>135</v>
      </c>
    </row>
    <row r="121" spans="1:16">
      <c r="A121" t="s">
        <v>231</v>
      </c>
      <c r="B121" s="2" t="str">
        <f>Hyperlink("https://www.diodes.com/datasheet/download/D26V0H1U2LP20.pdf")</f>
        <v>https://www.diodes.com/datasheet/download/D26V0H1U2LP20.pdf</v>
      </c>
      <c r="C121" t="str">
        <f>Hyperlink("https://www.diodes.com/part/view/D26V0H1U2LP20","D26V0H1U2LP20")</f>
        <v>D26V0H1U2LP20</v>
      </c>
      <c r="E121" t="s">
        <v>18</v>
      </c>
      <c r="F121" t="s">
        <v>19</v>
      </c>
      <c r="G121">
        <v>1</v>
      </c>
      <c r="H121" t="s">
        <v>20</v>
      </c>
      <c r="I121">
        <v>630</v>
      </c>
      <c r="J121">
        <v>26</v>
      </c>
      <c r="K121">
        <v>28</v>
      </c>
      <c r="M121">
        <v>9.5</v>
      </c>
      <c r="N121">
        <v>40</v>
      </c>
      <c r="O121" t="s">
        <v>21</v>
      </c>
      <c r="P121" t="s">
        <v>185</v>
      </c>
    </row>
    <row r="122" spans="1:16">
      <c r="A122" t="s">
        <v>232</v>
      </c>
      <c r="B122" s="2" t="str">
        <f>Hyperlink("https://www.diodes.com/datasheet/download/D26V0S1U2LP20.pdf")</f>
        <v>https://www.diodes.com/datasheet/download/D26V0S1U2LP20.pdf</v>
      </c>
      <c r="C122" t="str">
        <f>Hyperlink("https://www.diodes.com/part/view/D26V0S1U2LP20","D26V0S1U2LP20")</f>
        <v>D26V0S1U2LP20</v>
      </c>
      <c r="E122" t="s">
        <v>18</v>
      </c>
      <c r="F122" t="s">
        <v>19</v>
      </c>
      <c r="G122">
        <v>1</v>
      </c>
      <c r="H122" t="s">
        <v>20</v>
      </c>
      <c r="I122">
        <v>630</v>
      </c>
      <c r="J122">
        <v>26</v>
      </c>
      <c r="K122">
        <v>28</v>
      </c>
      <c r="M122">
        <v>110</v>
      </c>
      <c r="N122">
        <v>44</v>
      </c>
      <c r="O122" t="s">
        <v>21</v>
      </c>
      <c r="P122" t="s">
        <v>185</v>
      </c>
    </row>
    <row r="123" spans="1:16">
      <c r="A123" t="s">
        <v>233</v>
      </c>
      <c r="B123" s="2" t="str">
        <f>Hyperlink("https://www.diodes.com/datasheet/download/D7V5S1U3LP20-D48V0S1U3LP20.pdf")</f>
        <v>https://www.diodes.com/datasheet/download/D7V5S1U3LP20-D48V0S1U3LP20.pdf</v>
      </c>
      <c r="C123" t="str">
        <f>Hyperlink("https://www.diodes.com/part/view/D26V0S1U3LP20","D26V0S1U3LP20")</f>
        <v>D26V0S1U3LP20</v>
      </c>
      <c r="D123" t="s">
        <v>24</v>
      </c>
      <c r="E123" t="s">
        <v>18</v>
      </c>
      <c r="F123" t="s">
        <v>19</v>
      </c>
      <c r="G123">
        <v>1</v>
      </c>
      <c r="H123" t="s">
        <v>20</v>
      </c>
      <c r="I123">
        <v>625</v>
      </c>
      <c r="J123">
        <v>26</v>
      </c>
      <c r="K123">
        <v>28.9</v>
      </c>
      <c r="M123">
        <v>80</v>
      </c>
      <c r="N123">
        <v>50</v>
      </c>
      <c r="O123" t="s">
        <v>21</v>
      </c>
      <c r="P123" t="s">
        <v>25</v>
      </c>
    </row>
    <row r="124" spans="1:16">
      <c r="A124" t="s">
        <v>234</v>
      </c>
      <c r="B124" s="2" t="str">
        <f>Hyperlink("https://www.diodes.com/datasheet/download/D28V0H1U2P5Q.pdf")</f>
        <v>https://www.diodes.com/datasheet/download/D28V0H1U2P5Q.pdf</v>
      </c>
      <c r="C124" t="str">
        <f>Hyperlink("https://www.diodes.com/part/view/D28V0H1U2P5Q","D28V0H1U2P5Q")</f>
        <v>D28V0H1U2P5Q</v>
      </c>
      <c r="D124" t="s">
        <v>235</v>
      </c>
      <c r="E124" t="s">
        <v>32</v>
      </c>
      <c r="F124" t="s">
        <v>33</v>
      </c>
      <c r="G124">
        <v>1</v>
      </c>
      <c r="H124" t="s">
        <v>20</v>
      </c>
      <c r="J124">
        <v>28</v>
      </c>
      <c r="K124">
        <v>31</v>
      </c>
      <c r="N124">
        <v>44</v>
      </c>
      <c r="O124">
        <v>30</v>
      </c>
      <c r="P124" t="s">
        <v>236</v>
      </c>
    </row>
    <row r="125" spans="1:16">
      <c r="A125" t="s">
        <v>237</v>
      </c>
      <c r="B125" s="2" t="str">
        <f>Hyperlink("https://www.diodes.com/datasheet/download/D12V0S1U2LP1610_D50V0S1U2LP1610.pdf")</f>
        <v>https://www.diodes.com/datasheet/download/D12V0S1U2LP1610_D50V0S1U2LP1610.pdf</v>
      </c>
      <c r="C125" t="str">
        <f>Hyperlink("https://www.diodes.com/part/view/D28V0S1U2LP1610","D28V0S1U2LP1610")</f>
        <v>D28V0S1U2LP1610</v>
      </c>
      <c r="D125" t="s">
        <v>24</v>
      </c>
      <c r="E125" t="s">
        <v>18</v>
      </c>
      <c r="F125" t="s">
        <v>19</v>
      </c>
      <c r="G125">
        <v>1</v>
      </c>
      <c r="H125" t="s">
        <v>20</v>
      </c>
      <c r="I125">
        <v>190</v>
      </c>
      <c r="J125">
        <v>28</v>
      </c>
      <c r="K125">
        <v>31</v>
      </c>
      <c r="M125">
        <v>25</v>
      </c>
      <c r="N125">
        <v>50</v>
      </c>
      <c r="O125" t="s">
        <v>21</v>
      </c>
      <c r="P125" t="s">
        <v>87</v>
      </c>
    </row>
    <row r="126" spans="1:16">
      <c r="A126" t="s">
        <v>238</v>
      </c>
      <c r="B126" s="2" t="str">
        <f>Hyperlink("https://www.diodes.com/datasheet/download/D28V0S1U3LP20.pdf")</f>
        <v>https://www.diodes.com/datasheet/download/D28V0S1U3LP20.pdf</v>
      </c>
      <c r="C126" t="str">
        <f>Hyperlink("https://www.diodes.com/part/view/D28V0S1U3LP20","D28V0S1U3LP20")</f>
        <v>D28V0S1U3LP20</v>
      </c>
      <c r="D126" t="s">
        <v>113</v>
      </c>
      <c r="E126" t="s">
        <v>18</v>
      </c>
      <c r="F126" t="s">
        <v>19</v>
      </c>
      <c r="G126">
        <v>1</v>
      </c>
      <c r="H126" t="s">
        <v>20</v>
      </c>
      <c r="I126">
        <v>598</v>
      </c>
      <c r="J126">
        <v>28</v>
      </c>
      <c r="K126">
        <v>30.9</v>
      </c>
      <c r="M126">
        <v>70</v>
      </c>
      <c r="N126">
        <v>57.1</v>
      </c>
      <c r="O126" t="s">
        <v>21</v>
      </c>
      <c r="P126" t="s">
        <v>25</v>
      </c>
    </row>
    <row r="127" spans="1:16">
      <c r="A127" t="s">
        <v>239</v>
      </c>
      <c r="B127" s="2" t="str">
        <f>Hyperlink("https://www.diodes.com/datasheet/download/D2V5F4U8MR.pdf")</f>
        <v>https://www.diodes.com/datasheet/download/D2V5F4U8MR.pdf</v>
      </c>
      <c r="C127" t="str">
        <f>Hyperlink("https://www.diodes.com/part/view/D2V5F4U8MR","D2V5F4U8MR")</f>
        <v>D2V5F4U8MR</v>
      </c>
      <c r="D127" t="s">
        <v>240</v>
      </c>
      <c r="E127" t="s">
        <v>18</v>
      </c>
      <c r="F127" t="s">
        <v>19</v>
      </c>
      <c r="G127">
        <v>4</v>
      </c>
      <c r="H127" t="s">
        <v>241</v>
      </c>
      <c r="I127">
        <v>2.1</v>
      </c>
      <c r="J127">
        <v>2.5</v>
      </c>
      <c r="K127">
        <v>2.7</v>
      </c>
      <c r="M127">
        <v>80</v>
      </c>
      <c r="N127">
        <v>20</v>
      </c>
      <c r="O127" t="s">
        <v>37</v>
      </c>
      <c r="P127" t="s">
        <v>242</v>
      </c>
    </row>
    <row r="128" spans="1:16">
      <c r="A128" t="s">
        <v>243</v>
      </c>
      <c r="B128" s="2" t="str">
        <f>Hyperlink("https://www.diodes.com/datasheet/download/D2V5H1BS2LP.pdf")</f>
        <v>https://www.diodes.com/datasheet/download/D2V5H1BS2LP.pdf</v>
      </c>
      <c r="C128" t="str">
        <f>Hyperlink("https://www.diodes.com/part/view/D2V5H1BS2LP","D2V5H1BS2LP")</f>
        <v>D2V5H1BS2LP</v>
      </c>
      <c r="D128" t="s">
        <v>167</v>
      </c>
      <c r="E128" t="s">
        <v>18</v>
      </c>
      <c r="F128" t="s">
        <v>19</v>
      </c>
      <c r="G128">
        <v>1</v>
      </c>
      <c r="H128" t="s">
        <v>28</v>
      </c>
      <c r="I128">
        <v>150</v>
      </c>
      <c r="J128">
        <v>2.5</v>
      </c>
      <c r="K128">
        <v>2.6</v>
      </c>
      <c r="M128">
        <v>85</v>
      </c>
      <c r="O128" t="s">
        <v>21</v>
      </c>
      <c r="P128" t="s">
        <v>22</v>
      </c>
    </row>
    <row r="129" spans="1:16">
      <c r="A129" t="s">
        <v>244</v>
      </c>
      <c r="B129" s="2" t="str">
        <f>Hyperlink("https://www.diodes.com/datasheet/download/D2V5H1BS2LP4.pdf")</f>
        <v>https://www.diodes.com/datasheet/download/D2V5H1BS2LP4.pdf</v>
      </c>
      <c r="C129" t="str">
        <f>Hyperlink("https://www.diodes.com/part/view/D2V5H1BS2LP4","D2V5H1BS2LP4")</f>
        <v>D2V5H1BS2LP4</v>
      </c>
      <c r="D129" t="s">
        <v>167</v>
      </c>
      <c r="E129" t="s">
        <v>18</v>
      </c>
      <c r="F129" t="s">
        <v>19</v>
      </c>
      <c r="G129">
        <v>1</v>
      </c>
      <c r="H129" t="s">
        <v>28</v>
      </c>
      <c r="I129">
        <v>150</v>
      </c>
      <c r="J129">
        <v>2.5</v>
      </c>
      <c r="K129">
        <v>2.6</v>
      </c>
      <c r="M129">
        <v>85</v>
      </c>
      <c r="O129" t="s">
        <v>21</v>
      </c>
      <c r="P129" t="s">
        <v>34</v>
      </c>
    </row>
    <row r="130" spans="1:16">
      <c r="A130" t="s">
        <v>245</v>
      </c>
      <c r="B130" s="2" t="str">
        <f>Hyperlink("https://www.diodes.com/datasheet/download/D2V5L1BS2LP.pdf")</f>
        <v>https://www.diodes.com/datasheet/download/D2V5L1BS2LP.pdf</v>
      </c>
      <c r="C130" t="str">
        <f>Hyperlink("https://www.diodes.com/part/view/D2V5L1BS2LP","D2V5L1BS2LP")</f>
        <v>D2V5L1BS2LP</v>
      </c>
      <c r="D130" t="s">
        <v>246</v>
      </c>
      <c r="E130" t="s">
        <v>18</v>
      </c>
      <c r="F130" t="s">
        <v>19</v>
      </c>
      <c r="G130">
        <v>1</v>
      </c>
      <c r="H130" t="s">
        <v>28</v>
      </c>
      <c r="I130">
        <v>30</v>
      </c>
      <c r="J130">
        <v>2.5</v>
      </c>
      <c r="K130">
        <v>2.6</v>
      </c>
      <c r="M130">
        <v>15</v>
      </c>
      <c r="O130" t="s">
        <v>21</v>
      </c>
      <c r="P130" t="s">
        <v>22</v>
      </c>
    </row>
    <row r="131" spans="1:16">
      <c r="A131" t="s">
        <v>247</v>
      </c>
      <c r="B131" s="2" t="str">
        <f>Hyperlink("https://www.diodes.com/datasheet/download/D2V5L1BS2LP3.pdf")</f>
        <v>https://www.diodes.com/datasheet/download/D2V5L1BS2LP3.pdf</v>
      </c>
      <c r="C131" t="str">
        <f>Hyperlink("https://www.diodes.com/part/view/D2V5L1BS2LP3","D2V5L1BS2LP3")</f>
        <v>D2V5L1BS2LP3</v>
      </c>
      <c r="D131" t="s">
        <v>246</v>
      </c>
      <c r="E131" t="s">
        <v>18</v>
      </c>
      <c r="F131" t="s">
        <v>19</v>
      </c>
      <c r="G131">
        <v>1</v>
      </c>
      <c r="H131" t="s">
        <v>28</v>
      </c>
      <c r="I131">
        <v>32</v>
      </c>
      <c r="J131">
        <v>2.5</v>
      </c>
      <c r="K131">
        <v>2.6</v>
      </c>
      <c r="M131">
        <v>15</v>
      </c>
      <c r="O131" t="s">
        <v>21</v>
      </c>
      <c r="P131" t="s">
        <v>100</v>
      </c>
    </row>
    <row r="132" spans="1:16">
      <c r="A132" t="s">
        <v>248</v>
      </c>
      <c r="B132" s="2" t="str">
        <f>Hyperlink("https://www.diodes.com/datasheet/download/D2V5L1BS2LP3Q.pdf")</f>
        <v>https://www.diodes.com/datasheet/download/D2V5L1BS2LP3Q.pdf</v>
      </c>
      <c r="C132" t="str">
        <f>Hyperlink("https://www.diodes.com/part/view/D2V5L1BS2LP3Q","D2V5L1BS2LP3Q")</f>
        <v>D2V5L1BS2LP3Q</v>
      </c>
      <c r="D132" t="s">
        <v>169</v>
      </c>
      <c r="E132" t="s">
        <v>32</v>
      </c>
      <c r="F132" t="s">
        <v>33</v>
      </c>
      <c r="G132">
        <v>1</v>
      </c>
      <c r="H132" t="s">
        <v>28</v>
      </c>
      <c r="I132">
        <v>32</v>
      </c>
      <c r="J132">
        <v>2.5</v>
      </c>
      <c r="K132">
        <v>2.6</v>
      </c>
      <c r="M132">
        <v>15</v>
      </c>
      <c r="O132" t="s">
        <v>21</v>
      </c>
      <c r="P132" t="s">
        <v>100</v>
      </c>
    </row>
    <row r="133" spans="1:16">
      <c r="A133" t="s">
        <v>249</v>
      </c>
      <c r="B133" s="2" t="str">
        <f>Hyperlink("https://www.diodes.com/datasheet/download/D2V5L1BS2LP4.pdf")</f>
        <v>https://www.diodes.com/datasheet/download/D2V5L1BS2LP4.pdf</v>
      </c>
      <c r="C133" t="str">
        <f>Hyperlink("https://www.diodes.com/part/view/D2V5L1BS2LP4","D2V5L1BS2LP4")</f>
        <v>D2V5L1BS2LP4</v>
      </c>
      <c r="D133" t="s">
        <v>167</v>
      </c>
      <c r="E133" t="s">
        <v>18</v>
      </c>
      <c r="F133" t="s">
        <v>19</v>
      </c>
      <c r="G133">
        <v>1</v>
      </c>
      <c r="H133" t="s">
        <v>28</v>
      </c>
      <c r="I133">
        <v>30</v>
      </c>
      <c r="J133">
        <v>2.5</v>
      </c>
      <c r="K133">
        <v>2.6</v>
      </c>
      <c r="M133">
        <v>15</v>
      </c>
      <c r="O133" t="s">
        <v>21</v>
      </c>
      <c r="P133" t="s">
        <v>34</v>
      </c>
    </row>
    <row r="134" spans="1:16">
      <c r="A134" t="s">
        <v>250</v>
      </c>
      <c r="B134" s="2" t="str">
        <f>Hyperlink("https://www.diodes.com/datasheet/download/D2V5L4U8MR.pdf")</f>
        <v>https://www.diodes.com/datasheet/download/D2V5L4U8MR.pdf</v>
      </c>
      <c r="C134" t="str">
        <f>Hyperlink("https://www.diodes.com/part/view/D2V5L4U8MR","D2V5L4U8MR")</f>
        <v>D2V5L4U8MR</v>
      </c>
      <c r="D134" t="s">
        <v>240</v>
      </c>
      <c r="E134" t="s">
        <v>18</v>
      </c>
      <c r="F134" t="s">
        <v>33</v>
      </c>
      <c r="G134">
        <v>4</v>
      </c>
      <c r="H134" t="s">
        <v>70</v>
      </c>
      <c r="I134">
        <v>5</v>
      </c>
      <c r="J134">
        <v>2.5</v>
      </c>
      <c r="K134">
        <v>2.7</v>
      </c>
      <c r="M134">
        <v>100</v>
      </c>
      <c r="N134">
        <v>24</v>
      </c>
      <c r="O134" t="s">
        <v>21</v>
      </c>
      <c r="P134" t="s">
        <v>242</v>
      </c>
    </row>
    <row r="135" spans="1:16">
      <c r="A135" t="s">
        <v>251</v>
      </c>
      <c r="B135" s="2" t="str">
        <f>Hyperlink("https://www.diodes.com/datasheet/download/D2V8F4U8MR.pdf")</f>
        <v>https://www.diodes.com/datasheet/download/D2V8F4U8MR.pdf</v>
      </c>
      <c r="C135" t="str">
        <f>Hyperlink("https://www.diodes.com/part/view/D2V8F4U8MR","D2V8F4U8MR")</f>
        <v>D2V8F4U8MR</v>
      </c>
      <c r="D135" t="s">
        <v>167</v>
      </c>
      <c r="E135" t="s">
        <v>18</v>
      </c>
      <c r="F135" t="s">
        <v>33</v>
      </c>
      <c r="G135">
        <v>4</v>
      </c>
      <c r="H135" t="s">
        <v>241</v>
      </c>
      <c r="I135">
        <v>2.6</v>
      </c>
      <c r="J135">
        <v>2.8</v>
      </c>
      <c r="K135">
        <v>3</v>
      </c>
      <c r="M135">
        <v>80</v>
      </c>
      <c r="N135">
        <v>17</v>
      </c>
      <c r="O135" t="s">
        <v>37</v>
      </c>
      <c r="P135" t="s">
        <v>242</v>
      </c>
    </row>
    <row r="136" spans="1:16">
      <c r="A136" t="s">
        <v>252</v>
      </c>
      <c r="B136" s="2" t="str">
        <f>Hyperlink("https://www.diodes.com/datasheet/download/D7V5S1U3LP20-D48V0S1U3LP20.pdf")</f>
        <v>https://www.diodes.com/datasheet/download/D7V5S1U3LP20-D48V0S1U3LP20.pdf</v>
      </c>
      <c r="C136" t="str">
        <f>Hyperlink("https://www.diodes.com/part/view/D30V0S1U3LP20","D30V0S1U3LP20")</f>
        <v>D30V0S1U3LP20</v>
      </c>
      <c r="D136" t="s">
        <v>24</v>
      </c>
      <c r="E136" t="s">
        <v>18</v>
      </c>
      <c r="F136" t="s">
        <v>19</v>
      </c>
      <c r="G136">
        <v>1</v>
      </c>
      <c r="H136" t="s">
        <v>20</v>
      </c>
      <c r="I136">
        <v>387</v>
      </c>
      <c r="J136">
        <v>30</v>
      </c>
      <c r="K136">
        <v>32</v>
      </c>
      <c r="M136">
        <v>62</v>
      </c>
      <c r="N136">
        <v>64.5</v>
      </c>
      <c r="O136" t="s">
        <v>21</v>
      </c>
      <c r="P136" t="s">
        <v>25</v>
      </c>
    </row>
    <row r="137" spans="1:16">
      <c r="A137" t="s">
        <v>253</v>
      </c>
      <c r="B137" s="2" t="str">
        <f>Hyperlink("https://www.diodes.com/datasheet/download/D30V0S1UG3LP20.pdf")</f>
        <v>https://www.diodes.com/datasheet/download/D30V0S1UG3LP20.pdf</v>
      </c>
      <c r="C137" t="str">
        <f>Hyperlink("https://www.diodes.com/part/view/D30V0S1UG3LP20","D30V0S1UG3LP20")</f>
        <v>D30V0S1UG3LP20</v>
      </c>
      <c r="D137" t="s">
        <v>129</v>
      </c>
      <c r="E137" t="s">
        <v>18</v>
      </c>
      <c r="F137" t="s">
        <v>19</v>
      </c>
      <c r="G137">
        <v>1</v>
      </c>
      <c r="H137" t="s">
        <v>20</v>
      </c>
      <c r="I137">
        <v>500</v>
      </c>
      <c r="J137">
        <v>30</v>
      </c>
      <c r="K137">
        <v>30.5</v>
      </c>
      <c r="M137">
        <v>180</v>
      </c>
      <c r="O137" t="s">
        <v>21</v>
      </c>
      <c r="P137" t="s">
        <v>222</v>
      </c>
    </row>
    <row r="138" spans="1:16">
      <c r="A138" t="s">
        <v>254</v>
      </c>
      <c r="B138" s="2" t="str">
        <f>Hyperlink("https://www.diodes.com/datasheet/download/ds41785.pdf")</f>
        <v>https://www.diodes.com/datasheet/download/ds41785.pdf</v>
      </c>
      <c r="C138" t="str">
        <f>Hyperlink("https://www.diodes.com/part/view/D33V0S1U2LP1608","D33V0S1U2LP1608")</f>
        <v>D33V0S1U2LP1608</v>
      </c>
      <c r="D138" t="s">
        <v>24</v>
      </c>
      <c r="E138" t="s">
        <v>18</v>
      </c>
      <c r="F138" t="s">
        <v>19</v>
      </c>
      <c r="G138">
        <v>1</v>
      </c>
      <c r="H138" t="s">
        <v>20</v>
      </c>
      <c r="I138">
        <v>156</v>
      </c>
      <c r="J138">
        <v>33</v>
      </c>
      <c r="K138">
        <v>36</v>
      </c>
      <c r="M138">
        <v>19</v>
      </c>
      <c r="N138">
        <v>55</v>
      </c>
      <c r="O138" t="s">
        <v>21</v>
      </c>
      <c r="P138" t="s">
        <v>110</v>
      </c>
    </row>
    <row r="139" spans="1:16">
      <c r="A139" t="s">
        <v>255</v>
      </c>
      <c r="B139" s="2" t="str">
        <f>Hyperlink("https://www.diodes.com/datasheet/download/D12V0S1U2LP1610_D50V0S1U2LP1610.pdf")</f>
        <v>https://www.diodes.com/datasheet/download/D12V0S1U2LP1610_D50V0S1U2LP1610.pdf</v>
      </c>
      <c r="C139" t="str">
        <f>Hyperlink("https://www.diodes.com/part/view/D33V0S1U2LP1610","D33V0S1U2LP1610")</f>
        <v>D33V0S1U2LP1610</v>
      </c>
      <c r="D139" t="s">
        <v>24</v>
      </c>
      <c r="E139" t="s">
        <v>18</v>
      </c>
      <c r="F139" t="s">
        <v>19</v>
      </c>
      <c r="G139">
        <v>1</v>
      </c>
      <c r="H139" t="s">
        <v>20</v>
      </c>
      <c r="I139">
        <v>165</v>
      </c>
      <c r="J139">
        <v>33</v>
      </c>
      <c r="K139">
        <v>36</v>
      </c>
      <c r="M139">
        <v>18</v>
      </c>
      <c r="N139">
        <v>55</v>
      </c>
      <c r="O139" t="s">
        <v>21</v>
      </c>
      <c r="P139" t="s">
        <v>87</v>
      </c>
    </row>
    <row r="140" spans="1:16">
      <c r="A140" t="s">
        <v>256</v>
      </c>
      <c r="B140" s="2" t="str">
        <f>Hyperlink("https://www.diodes.com/datasheet/download/D33V0S1UG3LP20.pdf")</f>
        <v>https://www.diodes.com/datasheet/download/D33V0S1UG3LP20.pdf</v>
      </c>
      <c r="C140" t="str">
        <f>Hyperlink("https://www.diodes.com/part/view/D33V0S1UG3LP20","D33V0S1UG3LP20")</f>
        <v>D33V0S1UG3LP20</v>
      </c>
      <c r="D140" t="s">
        <v>113</v>
      </c>
      <c r="E140" t="s">
        <v>18</v>
      </c>
      <c r="F140" t="s">
        <v>19</v>
      </c>
      <c r="G140">
        <v>1</v>
      </c>
      <c r="H140" t="s">
        <v>20</v>
      </c>
      <c r="I140">
        <v>474</v>
      </c>
      <c r="J140">
        <v>33</v>
      </c>
      <c r="K140">
        <v>35</v>
      </c>
      <c r="M140">
        <v>180</v>
      </c>
      <c r="N140">
        <v>40</v>
      </c>
      <c r="O140" t="s">
        <v>21</v>
      </c>
      <c r="P140" t="s">
        <v>222</v>
      </c>
    </row>
    <row r="141" spans="1:16">
      <c r="A141" t="s">
        <v>257</v>
      </c>
      <c r="B141" s="2" t="str">
        <f>Hyperlink("https://www.diodes.com/datasheet/download/D34V0H1U2LP.pdf")</f>
        <v>https://www.diodes.com/datasheet/download/D34V0H1U2LP.pdf</v>
      </c>
      <c r="C141" t="str">
        <f>Hyperlink("https://www.diodes.com/part/view/D34V0H1U2LP","D34V0H1U2LP")</f>
        <v>D34V0H1U2LP</v>
      </c>
      <c r="D141" t="s">
        <v>258</v>
      </c>
      <c r="E141" t="s">
        <v>18</v>
      </c>
      <c r="F141" t="s">
        <v>19</v>
      </c>
      <c r="G141">
        <v>1</v>
      </c>
      <c r="H141" t="s">
        <v>20</v>
      </c>
      <c r="I141">
        <v>44</v>
      </c>
      <c r="J141">
        <v>34</v>
      </c>
      <c r="K141">
        <v>35</v>
      </c>
      <c r="L141">
        <v>0.1</v>
      </c>
      <c r="M141">
        <v>10</v>
      </c>
      <c r="N141">
        <v>58</v>
      </c>
      <c r="O141" t="s">
        <v>225</v>
      </c>
      <c r="P141" t="s">
        <v>22</v>
      </c>
    </row>
    <row r="142" spans="1:16">
      <c r="A142" t="s">
        <v>259</v>
      </c>
      <c r="B142" s="2" t="str">
        <f>Hyperlink("https://www.diodes.com/datasheet/download/D36V0L1B2LP.pdf")</f>
        <v>https://www.diodes.com/datasheet/download/D36V0L1B2LP.pdf</v>
      </c>
      <c r="C142" t="str">
        <f>Hyperlink("https://www.diodes.com/part/view/D36V0L1B2LP","D36V0L1B2LP")</f>
        <v>D36V0L1B2LP</v>
      </c>
      <c r="D142" t="s">
        <v>167</v>
      </c>
      <c r="E142" t="s">
        <v>18</v>
      </c>
      <c r="F142" t="s">
        <v>19</v>
      </c>
      <c r="G142">
        <v>1</v>
      </c>
      <c r="H142" t="s">
        <v>28</v>
      </c>
      <c r="I142">
        <v>12</v>
      </c>
      <c r="J142">
        <v>36</v>
      </c>
      <c r="K142">
        <v>40</v>
      </c>
      <c r="M142">
        <v>2</v>
      </c>
      <c r="N142">
        <v>60</v>
      </c>
      <c r="O142" t="s">
        <v>54</v>
      </c>
      <c r="P142" t="s">
        <v>22</v>
      </c>
    </row>
    <row r="143" spans="1:16">
      <c r="A143" t="s">
        <v>260</v>
      </c>
      <c r="B143" s="2" t="str">
        <f>Hyperlink("https://www.diodes.com/datasheet/download/D36V0L1B2LPQ.pdf")</f>
        <v>https://www.diodes.com/datasheet/download/D36V0L1B2LPQ.pdf</v>
      </c>
      <c r="C143" t="str">
        <f>Hyperlink("https://www.diodes.com/part/view/D36V0L1B2LPQ","D36V0L1B2LPQ")</f>
        <v>D36V0L1B2LPQ</v>
      </c>
      <c r="D143" t="s">
        <v>167</v>
      </c>
      <c r="E143" t="s">
        <v>32</v>
      </c>
      <c r="F143" t="s">
        <v>33</v>
      </c>
      <c r="G143">
        <v>1</v>
      </c>
      <c r="H143" t="s">
        <v>28</v>
      </c>
      <c r="I143">
        <v>12</v>
      </c>
      <c r="J143">
        <v>36</v>
      </c>
      <c r="K143">
        <v>40</v>
      </c>
      <c r="M143">
        <v>2</v>
      </c>
      <c r="N143">
        <v>60</v>
      </c>
      <c r="O143" t="s">
        <v>54</v>
      </c>
      <c r="P143" t="s">
        <v>22</v>
      </c>
    </row>
    <row r="144" spans="1:16">
      <c r="A144" t="s">
        <v>261</v>
      </c>
      <c r="B144" s="2" t="str">
        <f>Hyperlink("https://www.diodes.com/datasheet/download/D12V0S1U2LP1610_D50V0S1U2LP1610.pdf")</f>
        <v>https://www.diodes.com/datasheet/download/D12V0S1U2LP1610_D50V0S1U2LP1610.pdf</v>
      </c>
      <c r="C144" t="str">
        <f>Hyperlink("https://www.diodes.com/part/view/D36V0S1U2LP1610","D36V0S1U2LP1610")</f>
        <v>D36V0S1U2LP1610</v>
      </c>
      <c r="D144" t="s">
        <v>24</v>
      </c>
      <c r="E144" t="s">
        <v>18</v>
      </c>
      <c r="F144" t="s">
        <v>19</v>
      </c>
      <c r="G144">
        <v>1</v>
      </c>
      <c r="H144" t="s">
        <v>20</v>
      </c>
      <c r="I144">
        <v>165</v>
      </c>
      <c r="J144">
        <v>36</v>
      </c>
      <c r="K144">
        <v>37</v>
      </c>
      <c r="M144">
        <v>18</v>
      </c>
      <c r="N144">
        <v>59</v>
      </c>
      <c r="O144" t="s">
        <v>21</v>
      </c>
      <c r="P144" t="s">
        <v>87</v>
      </c>
    </row>
    <row r="145" spans="1:16">
      <c r="A145" t="s">
        <v>262</v>
      </c>
      <c r="B145" s="2" t="str">
        <f>Hyperlink("https://www.diodes.com/datasheet/download/D36V0S1U2LP1610Q.pdf")</f>
        <v>https://www.diodes.com/datasheet/download/D36V0S1U2LP1610Q.pdf</v>
      </c>
      <c r="C145" t="str">
        <f>Hyperlink("https://www.diodes.com/part/view/D36V0S1U2LP1610Q","D36V0S1U2LP1610Q")</f>
        <v>D36V0S1U2LP1610Q</v>
      </c>
      <c r="D145" t="s">
        <v>24</v>
      </c>
      <c r="E145" t="s">
        <v>32</v>
      </c>
      <c r="F145" t="s">
        <v>33</v>
      </c>
      <c r="G145">
        <v>1</v>
      </c>
      <c r="H145" t="s">
        <v>20</v>
      </c>
      <c r="I145">
        <v>165</v>
      </c>
      <c r="J145">
        <v>36</v>
      </c>
      <c r="K145">
        <v>37</v>
      </c>
      <c r="M145">
        <v>18</v>
      </c>
      <c r="N145">
        <v>59</v>
      </c>
      <c r="O145" t="s">
        <v>21</v>
      </c>
      <c r="P145" t="s">
        <v>87</v>
      </c>
    </row>
    <row r="146" spans="1:16">
      <c r="A146" t="s">
        <v>263</v>
      </c>
      <c r="B146" s="2" t="str">
        <f>Hyperlink("https://www.diodes.com/datasheet/download/D7V5S1U3LP20-D48V0S1U3LP20.pdf")</f>
        <v>https://www.diodes.com/datasheet/download/D7V5S1U3LP20-D48V0S1U3LP20.pdf</v>
      </c>
      <c r="C146" t="str">
        <f>Hyperlink("https://www.diodes.com/part/view/D36V0S1U3LP20","D36V0S1U3LP20")</f>
        <v>D36V0S1U3LP20</v>
      </c>
      <c r="D146" t="s">
        <v>24</v>
      </c>
      <c r="E146" t="s">
        <v>18</v>
      </c>
      <c r="F146" t="s">
        <v>19</v>
      </c>
      <c r="G146">
        <v>1</v>
      </c>
      <c r="H146" t="s">
        <v>20</v>
      </c>
      <c r="I146">
        <v>505</v>
      </c>
      <c r="J146">
        <v>36</v>
      </c>
      <c r="K146">
        <v>40.2</v>
      </c>
      <c r="M146">
        <v>47</v>
      </c>
      <c r="N146">
        <v>69.2</v>
      </c>
      <c r="O146" t="s">
        <v>21</v>
      </c>
      <c r="P146" t="s">
        <v>25</v>
      </c>
    </row>
    <row r="147" spans="1:16">
      <c r="A147" t="s">
        <v>264</v>
      </c>
      <c r="B147" s="2" t="str">
        <f>Hyperlink("https://www.diodes.com/datasheet/download/D3V3AP2WF.pdf")</f>
        <v>https://www.diodes.com/datasheet/download/D3V3AP2WF.pdf</v>
      </c>
      <c r="C147" t="str">
        <f>Hyperlink("https://www.diodes.com/part/view/D3V3AP2WF","D3V3AP2WF")</f>
        <v>D3V3AP2WF</v>
      </c>
      <c r="D147" t="s">
        <v>124</v>
      </c>
      <c r="E147" t="s">
        <v>18</v>
      </c>
      <c r="F147" t="s">
        <v>19</v>
      </c>
      <c r="G147">
        <v>1</v>
      </c>
      <c r="H147" t="s">
        <v>20</v>
      </c>
      <c r="J147">
        <v>3.3</v>
      </c>
      <c r="K147">
        <v>5.2</v>
      </c>
      <c r="M147">
        <v>28.2</v>
      </c>
      <c r="N147">
        <v>8</v>
      </c>
      <c r="O147" t="s">
        <v>21</v>
      </c>
      <c r="P147" t="s">
        <v>150</v>
      </c>
    </row>
    <row r="148" spans="1:16">
      <c r="A148" t="s">
        <v>265</v>
      </c>
      <c r="B148" s="2" t="str">
        <f>Hyperlink("https://www.diodes.com/datasheet/download/D3V3F2UD3LP.pdf")</f>
        <v>https://www.diodes.com/datasheet/download/D3V3F2UD3LP.pdf</v>
      </c>
      <c r="C148" t="str">
        <f>Hyperlink("https://www.diodes.com/part/view/D3V3F2UD3LP","D3V3F2UD3LP")</f>
        <v>D3V3F2UD3LP</v>
      </c>
      <c r="D148" t="s">
        <v>266</v>
      </c>
      <c r="E148" t="s">
        <v>18</v>
      </c>
      <c r="F148" t="s">
        <v>19</v>
      </c>
      <c r="G148">
        <v>2</v>
      </c>
      <c r="H148" t="s">
        <v>56</v>
      </c>
      <c r="I148">
        <v>0.45</v>
      </c>
      <c r="J148">
        <v>3.3</v>
      </c>
      <c r="K148">
        <v>5</v>
      </c>
      <c r="M148">
        <v>7</v>
      </c>
      <c r="O148" t="s">
        <v>154</v>
      </c>
      <c r="P148" t="s">
        <v>267</v>
      </c>
    </row>
    <row r="149" spans="1:16">
      <c r="A149" t="s">
        <v>268</v>
      </c>
      <c r="B149" s="2" t="str">
        <f>Hyperlink("https://www.diodes.com/datasheet/download/D3V3F4U10LP.pdf")</f>
        <v>https://www.diodes.com/datasheet/download/D3V3F4U10LP.pdf</v>
      </c>
      <c r="C149" t="str">
        <f>Hyperlink("https://www.diodes.com/part/view/D3V3F4U10LP","D3V3F4U10LP")</f>
        <v>D3V3F4U10LP</v>
      </c>
      <c r="D149" t="s">
        <v>269</v>
      </c>
      <c r="E149" t="s">
        <v>18</v>
      </c>
      <c r="F149" t="s">
        <v>19</v>
      </c>
      <c r="G149">
        <v>4</v>
      </c>
      <c r="H149" t="s">
        <v>70</v>
      </c>
      <c r="I149">
        <v>0.5</v>
      </c>
      <c r="J149">
        <v>3.3</v>
      </c>
      <c r="K149">
        <v>5.5</v>
      </c>
      <c r="M149">
        <v>5</v>
      </c>
      <c r="O149" t="s">
        <v>270</v>
      </c>
      <c r="P149" t="s">
        <v>271</v>
      </c>
    </row>
    <row r="150" spans="1:16">
      <c r="A150" t="s">
        <v>272</v>
      </c>
      <c r="B150" s="2" t="str">
        <f>Hyperlink("https://www.diodes.com/datasheet/download/D3V3F4U10LPQ.pdf")</f>
        <v>https://www.diodes.com/datasheet/download/D3V3F4U10LPQ.pdf</v>
      </c>
      <c r="C150" t="str">
        <f>Hyperlink("https://www.diodes.com/part/view/D3V3F4U10LPQ","D3V3F4U10LPQ")</f>
        <v>D3V3F4U10LPQ</v>
      </c>
      <c r="D150" t="s">
        <v>73</v>
      </c>
      <c r="E150" t="s">
        <v>32</v>
      </c>
      <c r="F150" t="s">
        <v>33</v>
      </c>
      <c r="G150">
        <v>4</v>
      </c>
      <c r="H150" t="s">
        <v>70</v>
      </c>
      <c r="I150">
        <v>0.5</v>
      </c>
      <c r="J150">
        <v>3.3</v>
      </c>
      <c r="K150">
        <v>5.5</v>
      </c>
      <c r="M150">
        <v>5</v>
      </c>
      <c r="O150" t="s">
        <v>270</v>
      </c>
      <c r="P150" t="s">
        <v>271</v>
      </c>
    </row>
    <row r="151" spans="1:16">
      <c r="A151" t="s">
        <v>273</v>
      </c>
      <c r="B151" s="2" t="str">
        <f>Hyperlink("https://www.diodes.com/datasheet/download/D3V3F4U6S.pdf")</f>
        <v>https://www.diodes.com/datasheet/download/D3V3F4U6S.pdf</v>
      </c>
      <c r="C151" t="str">
        <f>Hyperlink("https://www.diodes.com/part/view/D3V3F4U6S","D3V3F4U6S")</f>
        <v>D3V3F4U6S</v>
      </c>
      <c r="E151" t="s">
        <v>18</v>
      </c>
      <c r="F151" t="s">
        <v>19</v>
      </c>
      <c r="G151">
        <v>4</v>
      </c>
      <c r="H151" t="s">
        <v>70</v>
      </c>
      <c r="I151">
        <v>0.85</v>
      </c>
      <c r="J151">
        <v>3.3</v>
      </c>
      <c r="K151">
        <v>6</v>
      </c>
      <c r="M151">
        <v>5</v>
      </c>
      <c r="O151" t="s">
        <v>37</v>
      </c>
      <c r="P151" t="s">
        <v>74</v>
      </c>
    </row>
    <row r="152" spans="1:16">
      <c r="A152" t="s">
        <v>274</v>
      </c>
      <c r="B152" s="2" t="str">
        <f>Hyperlink("https://www.diodes.com/datasheet/download/D3V3F4U8MR.pdf")</f>
        <v>https://www.diodes.com/datasheet/download/D3V3F4U8MR.pdf</v>
      </c>
      <c r="C152" t="str">
        <f>Hyperlink("https://www.diodes.com/part/view/D3V3F4U8MR","D3V3F4U8MR")</f>
        <v>D3V3F4U8MR</v>
      </c>
      <c r="D152" t="s">
        <v>240</v>
      </c>
      <c r="E152" t="s">
        <v>18</v>
      </c>
      <c r="F152" t="s">
        <v>19</v>
      </c>
      <c r="G152">
        <v>4</v>
      </c>
      <c r="H152" t="s">
        <v>241</v>
      </c>
      <c r="I152">
        <v>2.1</v>
      </c>
      <c r="J152">
        <v>3.3</v>
      </c>
      <c r="K152">
        <v>3.6</v>
      </c>
      <c r="M152">
        <v>80</v>
      </c>
      <c r="N152">
        <v>20</v>
      </c>
      <c r="O152" t="s">
        <v>37</v>
      </c>
      <c r="P152" t="s">
        <v>242</v>
      </c>
    </row>
    <row r="153" spans="1:16">
      <c r="A153" t="s">
        <v>275</v>
      </c>
      <c r="B153" s="2" t="str">
        <f>Hyperlink("https://www.diodes.com/datasheet/download/D3V3F8U9LP3810.pdf")</f>
        <v>https://www.diodes.com/datasheet/download/D3V3F8U9LP3810.pdf</v>
      </c>
      <c r="C153" t="str">
        <f>Hyperlink("https://www.diodes.com/part/view/D3V3F8U9LP3810","D3V3F8U9LP3810")</f>
        <v>D3V3F8U9LP3810</v>
      </c>
      <c r="D153" t="s">
        <v>276</v>
      </c>
      <c r="E153" t="s">
        <v>18</v>
      </c>
      <c r="F153" t="s">
        <v>19</v>
      </c>
      <c r="G153">
        <v>8</v>
      </c>
      <c r="H153" t="s">
        <v>277</v>
      </c>
      <c r="I153">
        <v>0.55</v>
      </c>
      <c r="J153">
        <v>3.3</v>
      </c>
      <c r="K153">
        <v>5.5</v>
      </c>
      <c r="M153">
        <v>5</v>
      </c>
      <c r="O153" t="s">
        <v>270</v>
      </c>
      <c r="P153" t="s">
        <v>278</v>
      </c>
    </row>
    <row r="154" spans="1:16">
      <c r="A154" t="s">
        <v>279</v>
      </c>
      <c r="B154" s="2" t="str">
        <f>Hyperlink("https://www.diodes.com/datasheet/download/D3V3FA4U10LP.pdf")</f>
        <v>https://www.diodes.com/datasheet/download/D3V3FA4U10LP.pdf</v>
      </c>
      <c r="C154" t="str">
        <f>Hyperlink("https://www.diodes.com/part/view/D3V3FA4U10LP","D3V3FA4U10LP")</f>
        <v>D3V3FA4U10LP</v>
      </c>
      <c r="D154" t="s">
        <v>73</v>
      </c>
      <c r="E154" t="s">
        <v>18</v>
      </c>
      <c r="F154" t="s">
        <v>19</v>
      </c>
      <c r="G154">
        <v>4</v>
      </c>
      <c r="H154" t="s">
        <v>70</v>
      </c>
      <c r="I154">
        <v>0.4</v>
      </c>
      <c r="J154">
        <v>3.3</v>
      </c>
      <c r="K154">
        <v>4</v>
      </c>
      <c r="M154">
        <v>4</v>
      </c>
      <c r="N154">
        <v>11.5</v>
      </c>
      <c r="O154" t="s">
        <v>29</v>
      </c>
      <c r="P154" t="s">
        <v>271</v>
      </c>
    </row>
    <row r="155" spans="1:16">
      <c r="A155" t="s">
        <v>280</v>
      </c>
      <c r="B155" s="2" t="str">
        <f>Hyperlink("https://www.diodes.com/datasheet/download/D3V3H1B2LP.pdf")</f>
        <v>https://www.diodes.com/datasheet/download/D3V3H1B2LP.pdf</v>
      </c>
      <c r="C155" t="str">
        <f>Hyperlink("https://www.diodes.com/part/view/D3V3H1B2LP","D3V3H1B2LP")</f>
        <v>D3V3H1B2LP</v>
      </c>
      <c r="D155" t="s">
        <v>281</v>
      </c>
      <c r="E155" t="s">
        <v>18</v>
      </c>
      <c r="F155" t="s">
        <v>19</v>
      </c>
      <c r="G155">
        <v>1</v>
      </c>
      <c r="H155" t="s">
        <v>28</v>
      </c>
      <c r="I155">
        <v>100</v>
      </c>
      <c r="J155">
        <v>3.3</v>
      </c>
      <c r="K155">
        <v>3.8</v>
      </c>
      <c r="L155">
        <v>0.01</v>
      </c>
      <c r="M155">
        <v>40</v>
      </c>
      <c r="N155">
        <v>9.5</v>
      </c>
      <c r="O155" t="s">
        <v>21</v>
      </c>
      <c r="P155" t="s">
        <v>22</v>
      </c>
    </row>
    <row r="156" spans="1:16">
      <c r="A156" t="s">
        <v>282</v>
      </c>
      <c r="B156" s="2" t="str">
        <f>Hyperlink("https://www.diodes.com/datasheet/download/D3V3H1B2LPQ.pdf")</f>
        <v>https://www.diodes.com/datasheet/download/D3V3H1B2LPQ.pdf</v>
      </c>
      <c r="C156" t="str">
        <f>Hyperlink("https://www.diodes.com/part/view/D3V3H1B2LPQ","D3V3H1B2LPQ")</f>
        <v>D3V3H1B2LPQ</v>
      </c>
      <c r="D156" t="s">
        <v>281</v>
      </c>
      <c r="E156" t="s">
        <v>32</v>
      </c>
      <c r="F156" t="s">
        <v>33</v>
      </c>
      <c r="G156">
        <v>1</v>
      </c>
      <c r="H156" t="s">
        <v>28</v>
      </c>
      <c r="I156">
        <v>100</v>
      </c>
      <c r="J156">
        <v>3.3</v>
      </c>
      <c r="K156">
        <v>3.8</v>
      </c>
      <c r="L156">
        <v>0.01</v>
      </c>
      <c r="M156">
        <v>40</v>
      </c>
      <c r="N156">
        <v>9.5</v>
      </c>
      <c r="O156" t="s">
        <v>21</v>
      </c>
      <c r="P156" t="s">
        <v>22</v>
      </c>
    </row>
    <row r="157" spans="1:16">
      <c r="A157" t="s">
        <v>283</v>
      </c>
      <c r="B157" s="2" t="str">
        <f>Hyperlink("https://www.diodes.com/datasheet/download/D3V3H1U2LP.pdf")</f>
        <v>https://www.diodes.com/datasheet/download/D3V3H1U2LP.pdf</v>
      </c>
      <c r="C157" t="str">
        <f>Hyperlink("https://www.diodes.com/part/view/D3V3H1U2LP","D3V3H1U2LP")</f>
        <v>D3V3H1U2LP</v>
      </c>
      <c r="D157" t="s">
        <v>284</v>
      </c>
      <c r="E157" t="s">
        <v>18</v>
      </c>
      <c r="F157" t="s">
        <v>19</v>
      </c>
      <c r="G157">
        <v>1</v>
      </c>
      <c r="H157" t="s">
        <v>20</v>
      </c>
      <c r="I157">
        <v>280</v>
      </c>
      <c r="J157">
        <v>3.3</v>
      </c>
      <c r="K157">
        <v>4</v>
      </c>
      <c r="M157">
        <v>35</v>
      </c>
      <c r="N157">
        <v>10</v>
      </c>
      <c r="O157" t="s">
        <v>21</v>
      </c>
      <c r="P157" t="s">
        <v>22</v>
      </c>
    </row>
    <row r="158" spans="1:16">
      <c r="A158" t="s">
        <v>285</v>
      </c>
      <c r="B158" s="2" t="str">
        <f>Hyperlink("https://www.diodes.com/datasheet/download/D3V3H1U2LPQ.pdf")</f>
        <v>https://www.diodes.com/datasheet/download/D3V3H1U2LPQ.pdf</v>
      </c>
      <c r="C158" t="str">
        <f>Hyperlink("https://www.diodes.com/part/view/D3V3H1U2LPQ","D3V3H1U2LPQ")</f>
        <v>D3V3H1U2LPQ</v>
      </c>
      <c r="D158" t="s">
        <v>17</v>
      </c>
      <c r="E158" t="s">
        <v>32</v>
      </c>
      <c r="F158" t="s">
        <v>33</v>
      </c>
      <c r="G158">
        <v>1</v>
      </c>
      <c r="H158" t="s">
        <v>20</v>
      </c>
      <c r="I158">
        <v>280</v>
      </c>
      <c r="J158">
        <v>3.3</v>
      </c>
      <c r="K158">
        <v>4</v>
      </c>
      <c r="M158">
        <v>35</v>
      </c>
      <c r="N158">
        <v>10</v>
      </c>
      <c r="O158" t="s">
        <v>21</v>
      </c>
      <c r="P158" t="s">
        <v>22</v>
      </c>
    </row>
    <row r="159" spans="1:16">
      <c r="A159" t="s">
        <v>286</v>
      </c>
      <c r="B159" s="2" t="str">
        <f>Hyperlink("https://www.diodes.com/datasheet/download/D3V3HN1B2LP.pdf")</f>
        <v>https://www.diodes.com/datasheet/download/D3V3HN1B2LP.pdf</v>
      </c>
      <c r="C159" t="str">
        <f>Hyperlink("https://www.diodes.com/part/view/D3V3HN1B2LP","D3V3HN1B2LP")</f>
        <v>D3V3HN1B2LP</v>
      </c>
      <c r="D159" t="s">
        <v>167</v>
      </c>
      <c r="E159" t="s">
        <v>18</v>
      </c>
      <c r="F159" t="s">
        <v>19</v>
      </c>
      <c r="G159">
        <v>1</v>
      </c>
      <c r="H159" t="s">
        <v>28</v>
      </c>
      <c r="I159">
        <v>140</v>
      </c>
      <c r="J159">
        <v>3.3</v>
      </c>
      <c r="K159">
        <v>3.8</v>
      </c>
      <c r="M159">
        <v>70</v>
      </c>
      <c r="O159" t="s">
        <v>21</v>
      </c>
      <c r="P159" t="s">
        <v>287</v>
      </c>
    </row>
    <row r="160" spans="1:16">
      <c r="A160" t="s">
        <v>288</v>
      </c>
      <c r="B160" s="2" t="str">
        <f>Hyperlink("https://www.diodes.com/datasheet/download/D3V3L1B2LP3.pdf")</f>
        <v>https://www.diodes.com/datasheet/download/D3V3L1B2LP3.pdf</v>
      </c>
      <c r="C160" t="str">
        <f>Hyperlink("https://www.diodes.com/part/view/D3V3L1B2LP3","D3V3L1B2LP3")</f>
        <v>D3V3L1B2LP3</v>
      </c>
      <c r="D160" t="s">
        <v>289</v>
      </c>
      <c r="E160" t="s">
        <v>18</v>
      </c>
      <c r="F160" t="s">
        <v>19</v>
      </c>
      <c r="G160">
        <v>1</v>
      </c>
      <c r="H160" t="s">
        <v>28</v>
      </c>
      <c r="I160">
        <v>28</v>
      </c>
      <c r="J160">
        <v>3.3</v>
      </c>
      <c r="K160">
        <v>3.8</v>
      </c>
      <c r="M160">
        <v>12</v>
      </c>
      <c r="N160">
        <v>8</v>
      </c>
      <c r="O160" t="s">
        <v>21</v>
      </c>
      <c r="P160" t="s">
        <v>100</v>
      </c>
    </row>
    <row r="161" spans="1:16">
      <c r="A161" t="s">
        <v>290</v>
      </c>
      <c r="B161" s="2" t="str">
        <f>Hyperlink("https://www.diodes.com/datasheet/download/D3V3L1B2LP3Q.pdf")</f>
        <v>https://www.diodes.com/datasheet/download/D3V3L1B2LP3Q.pdf</v>
      </c>
      <c r="C161" t="str">
        <f>Hyperlink("https://www.diodes.com/part/view/D3V3L1B2LP3Q","D3V3L1B2LP3Q")</f>
        <v>D3V3L1B2LP3Q</v>
      </c>
      <c r="D161" t="s">
        <v>116</v>
      </c>
      <c r="E161" t="s">
        <v>32</v>
      </c>
      <c r="F161" t="s">
        <v>33</v>
      </c>
      <c r="G161">
        <v>1</v>
      </c>
      <c r="H161" t="s">
        <v>28</v>
      </c>
      <c r="I161">
        <v>28</v>
      </c>
      <c r="J161">
        <v>3.3</v>
      </c>
      <c r="K161">
        <v>3.8</v>
      </c>
      <c r="M161">
        <v>12</v>
      </c>
      <c r="N161">
        <v>8</v>
      </c>
      <c r="O161" t="s">
        <v>21</v>
      </c>
      <c r="P161" t="s">
        <v>100</v>
      </c>
    </row>
    <row r="162" spans="1:16">
      <c r="A162" t="s">
        <v>291</v>
      </c>
      <c r="B162" s="2" t="str">
        <f>Hyperlink("https://www.diodes.com/datasheet/download/D3V3L1B2T.pdf")</f>
        <v>https://www.diodes.com/datasheet/download/D3V3L1B2T.pdf</v>
      </c>
      <c r="C162" t="str">
        <f>Hyperlink("https://www.diodes.com/part/view/D3V3L1B2T","D3V3L1B2T")</f>
        <v>D3V3L1B2T</v>
      </c>
      <c r="D162" t="s">
        <v>167</v>
      </c>
      <c r="E162" t="s">
        <v>18</v>
      </c>
      <c r="F162" t="s">
        <v>33</v>
      </c>
      <c r="G162">
        <v>1</v>
      </c>
      <c r="H162" t="s">
        <v>28</v>
      </c>
      <c r="I162">
        <v>11</v>
      </c>
      <c r="J162">
        <v>3.3</v>
      </c>
      <c r="K162">
        <v>3.5</v>
      </c>
      <c r="L162">
        <v>0.05</v>
      </c>
      <c r="M162">
        <v>5</v>
      </c>
      <c r="N162">
        <v>18</v>
      </c>
      <c r="O162" t="s">
        <v>292</v>
      </c>
      <c r="P162" t="s">
        <v>45</v>
      </c>
    </row>
    <row r="163" spans="1:16">
      <c r="A163" t="s">
        <v>293</v>
      </c>
      <c r="B163" s="2" t="str">
        <f>Hyperlink("https://www.diodes.com/datasheet/download/D3V3L1B2WS.pdf")</f>
        <v>https://www.diodes.com/datasheet/download/D3V3L1B2WS.pdf</v>
      </c>
      <c r="C163" t="str">
        <f>Hyperlink("https://www.diodes.com/part/view/D3V3L1B2WS","D3V3L1B2WS")</f>
        <v>D3V3L1B2WS</v>
      </c>
      <c r="D163" t="s">
        <v>167</v>
      </c>
      <c r="E163" t="s">
        <v>18</v>
      </c>
      <c r="F163" t="s">
        <v>33</v>
      </c>
      <c r="G163">
        <v>1</v>
      </c>
      <c r="H163" t="s">
        <v>28</v>
      </c>
      <c r="I163">
        <v>11</v>
      </c>
      <c r="J163">
        <v>3.3</v>
      </c>
      <c r="K163">
        <v>3.5</v>
      </c>
      <c r="L163">
        <v>0.05</v>
      </c>
      <c r="M163">
        <v>5</v>
      </c>
      <c r="N163">
        <v>18</v>
      </c>
      <c r="O163" t="s">
        <v>292</v>
      </c>
      <c r="P163" t="s">
        <v>51</v>
      </c>
    </row>
    <row r="164" spans="1:16">
      <c r="A164" t="s">
        <v>294</v>
      </c>
      <c r="B164" s="2" t="str">
        <f>Hyperlink("https://www.diodes.com/datasheet/download/D3V3L2B3LP10.pdf")</f>
        <v>https://www.diodes.com/datasheet/download/D3V3L2B3LP10.pdf</v>
      </c>
      <c r="C164" t="str">
        <f>Hyperlink("https://www.diodes.com/part/view/D3V3L2B3LP10","D3V3L2B3LP10")</f>
        <v>D3V3L2B3LP10</v>
      </c>
      <c r="E164" t="s">
        <v>18</v>
      </c>
      <c r="F164" t="s">
        <v>19</v>
      </c>
      <c r="G164">
        <v>2</v>
      </c>
      <c r="H164" t="s">
        <v>295</v>
      </c>
      <c r="I164">
        <v>10</v>
      </c>
      <c r="J164">
        <v>3.3</v>
      </c>
      <c r="K164">
        <v>3.8</v>
      </c>
      <c r="L164">
        <v>0.01</v>
      </c>
      <c r="M164">
        <v>5</v>
      </c>
      <c r="N164">
        <v>7</v>
      </c>
      <c r="O164" t="s">
        <v>296</v>
      </c>
      <c r="P164" t="s">
        <v>297</v>
      </c>
    </row>
    <row r="165" spans="1:16">
      <c r="A165" t="s">
        <v>298</v>
      </c>
      <c r="B165" s="2" t="str">
        <f>Hyperlink("https://www.diodes.com/datasheet/download/D3V3L2BS3LP.pdf")</f>
        <v>https://www.diodes.com/datasheet/download/D3V3L2BS3LP.pdf</v>
      </c>
      <c r="C165" t="str">
        <f>Hyperlink("https://www.diodes.com/part/view/D3V3L2BS3LP","D3V3L2BS3LP")</f>
        <v>D3V3L2BS3LP</v>
      </c>
      <c r="D165" t="s">
        <v>299</v>
      </c>
      <c r="E165" t="s">
        <v>18</v>
      </c>
      <c r="F165" t="s">
        <v>19</v>
      </c>
      <c r="G165">
        <v>2</v>
      </c>
      <c r="H165" t="s">
        <v>295</v>
      </c>
      <c r="I165">
        <v>18</v>
      </c>
      <c r="J165">
        <v>3.3</v>
      </c>
      <c r="K165">
        <v>3.8</v>
      </c>
      <c r="M165">
        <v>8</v>
      </c>
      <c r="O165" t="s">
        <v>21</v>
      </c>
      <c r="P165" t="s">
        <v>267</v>
      </c>
    </row>
    <row r="166" spans="1:16">
      <c r="A166" t="s">
        <v>300</v>
      </c>
      <c r="B166" s="2" t="str">
        <f>Hyperlink("https://www.diodes.com/datasheet/download/D3V3L2BS3LPQ.pdf")</f>
        <v>https://www.diodes.com/datasheet/download/D3V3L2BS3LPQ.pdf</v>
      </c>
      <c r="C166" t="str">
        <f>Hyperlink("https://www.diodes.com/part/view/D3V3L2BS3LPQ","D3V3L2BS3LPQ")</f>
        <v>D3V3L2BS3LPQ</v>
      </c>
      <c r="D166" t="s">
        <v>301</v>
      </c>
      <c r="E166" t="s">
        <v>32</v>
      </c>
      <c r="F166" t="s">
        <v>33</v>
      </c>
      <c r="G166">
        <v>2</v>
      </c>
      <c r="H166" t="s">
        <v>295</v>
      </c>
      <c r="I166">
        <v>18</v>
      </c>
      <c r="J166">
        <v>3.3</v>
      </c>
      <c r="K166">
        <v>3.8</v>
      </c>
      <c r="M166">
        <v>8</v>
      </c>
      <c r="O166" t="s">
        <v>21</v>
      </c>
      <c r="P166" t="s">
        <v>267</v>
      </c>
    </row>
    <row r="167" spans="1:16">
      <c r="A167" t="s">
        <v>302</v>
      </c>
      <c r="B167" s="2" t="str">
        <f>Hyperlink("https://www.diodes.com/datasheet/download/D3V3L4BS4LP1308.pdf")</f>
        <v>https://www.diodes.com/datasheet/download/D3V3L4BS4LP1308.pdf</v>
      </c>
      <c r="C167" t="str">
        <f>Hyperlink("https://www.diodes.com/part/view/D3V3L4BS4LP1308","D3V3L4BS4LP1308")</f>
        <v>D3V3L4BS4LP1308</v>
      </c>
      <c r="D167" t="s">
        <v>303</v>
      </c>
      <c r="E167" t="s">
        <v>18</v>
      </c>
      <c r="F167" t="s">
        <v>19</v>
      </c>
      <c r="G167">
        <v>4</v>
      </c>
      <c r="H167" t="s">
        <v>304</v>
      </c>
      <c r="I167">
        <v>9.5</v>
      </c>
      <c r="J167">
        <v>3.3</v>
      </c>
      <c r="K167">
        <v>3.8</v>
      </c>
      <c r="M167">
        <v>11</v>
      </c>
      <c r="N167">
        <v>10.5</v>
      </c>
      <c r="O167" t="s">
        <v>21</v>
      </c>
      <c r="P167" t="s">
        <v>305</v>
      </c>
    </row>
    <row r="168" spans="1:16">
      <c r="A168" t="s">
        <v>306</v>
      </c>
      <c r="B168" s="2" t="str">
        <f>Hyperlink("https://www.diodes.com/datasheet/download/D3V3L4U8MR.pdf")</f>
        <v>https://www.diodes.com/datasheet/download/D3V3L4U8MR.pdf</v>
      </c>
      <c r="C168" t="str">
        <f>Hyperlink("https://www.diodes.com/part/view/D3V3L4U8MR","D3V3L4U8MR")</f>
        <v>D3V3L4U8MR</v>
      </c>
      <c r="D168" t="s">
        <v>240</v>
      </c>
      <c r="E168" t="s">
        <v>18</v>
      </c>
      <c r="F168" t="s">
        <v>33</v>
      </c>
      <c r="G168">
        <v>4</v>
      </c>
      <c r="H168" t="s">
        <v>70</v>
      </c>
      <c r="I168">
        <v>5</v>
      </c>
      <c r="J168">
        <v>3.3</v>
      </c>
      <c r="K168">
        <v>3.5</v>
      </c>
      <c r="M168">
        <v>100</v>
      </c>
      <c r="N168">
        <v>24</v>
      </c>
      <c r="O168" t="s">
        <v>21</v>
      </c>
      <c r="P168" t="s">
        <v>242</v>
      </c>
    </row>
    <row r="169" spans="1:16">
      <c r="A169" t="s">
        <v>307</v>
      </c>
      <c r="B169" s="2" t="str">
        <f>Hyperlink("https://www.diodes.com/datasheet/download/D3V3M1U2LP3.pdf")</f>
        <v>https://www.diodes.com/datasheet/download/D3V3M1U2LP3.pdf</v>
      </c>
      <c r="C169" t="str">
        <f>Hyperlink("https://www.diodes.com/part/view/D3V3M1U2LP3","D3V3M1U2LP3")</f>
        <v>D3V3M1U2LP3</v>
      </c>
      <c r="D169" t="s">
        <v>284</v>
      </c>
      <c r="E169" t="s">
        <v>18</v>
      </c>
      <c r="F169" t="s">
        <v>19</v>
      </c>
      <c r="G169">
        <v>1</v>
      </c>
      <c r="H169" t="s">
        <v>20</v>
      </c>
      <c r="I169">
        <v>70</v>
      </c>
      <c r="J169">
        <v>3.3</v>
      </c>
      <c r="K169">
        <v>4.5</v>
      </c>
      <c r="M169">
        <v>12</v>
      </c>
      <c r="N169">
        <v>10</v>
      </c>
      <c r="O169" t="s">
        <v>21</v>
      </c>
      <c r="P169" t="s">
        <v>100</v>
      </c>
    </row>
    <row r="170" spans="1:16">
      <c r="A170" t="s">
        <v>308</v>
      </c>
      <c r="B170" s="2" t="str">
        <f>Hyperlink("https://www.diodes.com/datasheet/download/D3V3M1U2S9.pdf")</f>
        <v>https://www.diodes.com/datasheet/download/D3V3M1U2S9.pdf</v>
      </c>
      <c r="C170" t="str">
        <f>Hyperlink("https://www.diodes.com/part/view/D3V3M1U2S9","D3V3M1U2S9")</f>
        <v>D3V3M1U2S9</v>
      </c>
      <c r="E170" t="s">
        <v>18</v>
      </c>
      <c r="F170" t="s">
        <v>19</v>
      </c>
      <c r="G170">
        <v>1</v>
      </c>
      <c r="H170" t="s">
        <v>20</v>
      </c>
      <c r="I170">
        <v>70</v>
      </c>
      <c r="J170">
        <v>3.3</v>
      </c>
      <c r="K170">
        <v>5</v>
      </c>
      <c r="M170">
        <v>12</v>
      </c>
      <c r="N170">
        <v>10</v>
      </c>
      <c r="O170" t="s">
        <v>21</v>
      </c>
      <c r="P170" t="s">
        <v>102</v>
      </c>
    </row>
    <row r="171" spans="1:16">
      <c r="A171" t="s">
        <v>309</v>
      </c>
      <c r="B171" s="2" t="str">
        <f>Hyperlink("https://www.diodes.com/datasheet/download/D3V3M1U2S9Q.pdf")</f>
        <v>https://www.diodes.com/datasheet/download/D3V3M1U2S9Q.pdf</v>
      </c>
      <c r="C171" t="str">
        <f>Hyperlink("https://www.diodes.com/part/view/D3V3M1U2S9Q","D3V3M1U2S9Q")</f>
        <v>D3V3M1U2S9Q</v>
      </c>
      <c r="D171" t="s">
        <v>284</v>
      </c>
      <c r="E171" t="s">
        <v>32</v>
      </c>
      <c r="F171" t="s">
        <v>33</v>
      </c>
      <c r="G171">
        <v>1</v>
      </c>
      <c r="H171" t="s">
        <v>20</v>
      </c>
      <c r="I171">
        <v>70</v>
      </c>
      <c r="J171">
        <v>3.3</v>
      </c>
      <c r="K171">
        <v>5</v>
      </c>
      <c r="M171">
        <v>12</v>
      </c>
      <c r="N171">
        <v>10</v>
      </c>
      <c r="O171" t="s">
        <v>21</v>
      </c>
      <c r="P171" t="s">
        <v>102</v>
      </c>
    </row>
    <row r="172" spans="1:16">
      <c r="A172" t="s">
        <v>310</v>
      </c>
      <c r="B172" s="2" t="str">
        <f>Hyperlink("https://www.diodes.com/datasheet/download/D3V3M2B3SO.pdf")</f>
        <v>https://www.diodes.com/datasheet/download/D3V3M2B3SO.pdf</v>
      </c>
      <c r="C172" t="str">
        <f>Hyperlink("https://www.diodes.com/part/view/D3V3M2B3SO","D3V3M2B3SO")</f>
        <v>D3V3M2B3SO</v>
      </c>
      <c r="D172" t="s">
        <v>311</v>
      </c>
      <c r="E172" t="s">
        <v>18</v>
      </c>
      <c r="F172" t="s">
        <v>33</v>
      </c>
      <c r="G172">
        <v>2</v>
      </c>
      <c r="H172" t="s">
        <v>295</v>
      </c>
      <c r="I172">
        <v>110</v>
      </c>
      <c r="J172">
        <v>3.5</v>
      </c>
      <c r="K172">
        <v>2.8</v>
      </c>
      <c r="L172">
        <v>0.04</v>
      </c>
      <c r="M172">
        <v>20</v>
      </c>
      <c r="N172">
        <v>9</v>
      </c>
      <c r="O172" t="s">
        <v>312</v>
      </c>
      <c r="P172" t="s">
        <v>43</v>
      </c>
    </row>
    <row r="173" spans="1:16">
      <c r="A173" t="s">
        <v>313</v>
      </c>
      <c r="B173" s="2" t="str">
        <f>Hyperlink("https://www.diodes.com/datasheet/download/D3V3P4U10LP26.pdf")</f>
        <v>https://www.diodes.com/datasheet/download/D3V3P4U10LP26.pdf</v>
      </c>
      <c r="C173" t="str">
        <f>Hyperlink("https://www.diodes.com/part/view/D3V3P4U10LP26","D3V3P4U10LP26")</f>
        <v>D3V3P4U10LP26</v>
      </c>
      <c r="D173" t="s">
        <v>73</v>
      </c>
      <c r="E173" t="s">
        <v>18</v>
      </c>
      <c r="F173" t="s">
        <v>19</v>
      </c>
      <c r="G173">
        <v>4</v>
      </c>
      <c r="H173" t="s">
        <v>70</v>
      </c>
      <c r="I173">
        <v>3.8</v>
      </c>
      <c r="J173">
        <v>3.3</v>
      </c>
      <c r="K173">
        <v>3.8</v>
      </c>
      <c r="M173">
        <v>25</v>
      </c>
      <c r="N173">
        <v>12</v>
      </c>
      <c r="O173" t="s">
        <v>21</v>
      </c>
      <c r="P173" t="s">
        <v>314</v>
      </c>
    </row>
    <row r="174" spans="1:16">
      <c r="A174" t="s">
        <v>315</v>
      </c>
      <c r="B174" s="2" t="str">
        <f>Hyperlink("https://www.diodes.com/datasheet/download/D3V3Q1B2LP3.pdf")</f>
        <v>https://www.diodes.com/datasheet/download/D3V3Q1B2LP3.pdf</v>
      </c>
      <c r="C174" t="str">
        <f>Hyperlink("https://www.diodes.com/part/view/D3V3Q1B2LP3","D3V3Q1B2LP3")</f>
        <v>D3V3Q1B2LP3</v>
      </c>
      <c r="D174" t="s">
        <v>289</v>
      </c>
      <c r="E174" t="s">
        <v>18</v>
      </c>
      <c r="F174" t="s">
        <v>19</v>
      </c>
      <c r="G174">
        <v>1</v>
      </c>
      <c r="H174" t="s">
        <v>28</v>
      </c>
      <c r="I174">
        <v>6</v>
      </c>
      <c r="J174">
        <v>3.3</v>
      </c>
      <c r="K174">
        <v>3.8</v>
      </c>
      <c r="M174">
        <v>4</v>
      </c>
      <c r="N174">
        <v>7.5</v>
      </c>
      <c r="O174" t="s">
        <v>117</v>
      </c>
      <c r="P174" t="s">
        <v>100</v>
      </c>
    </row>
    <row r="175" spans="1:16">
      <c r="A175" t="s">
        <v>316</v>
      </c>
      <c r="B175" s="2" t="str">
        <f>Hyperlink("https://www.diodes.com/datasheet/download/D3V3S1B2LP.pdf")</f>
        <v>https://www.diodes.com/datasheet/download/D3V3S1B2LP.pdf</v>
      </c>
      <c r="C175" t="str">
        <f>Hyperlink("https://www.diodes.com/part/view/D3V3S1B2LP","D3V3S1B2LP")</f>
        <v>D3V3S1B2LP</v>
      </c>
      <c r="D175" t="s">
        <v>281</v>
      </c>
      <c r="E175" t="s">
        <v>18</v>
      </c>
      <c r="F175" t="s">
        <v>19</v>
      </c>
      <c r="G175">
        <v>1</v>
      </c>
      <c r="H175" t="s">
        <v>28</v>
      </c>
      <c r="I175">
        <v>118</v>
      </c>
      <c r="J175">
        <v>3.3</v>
      </c>
      <c r="K175">
        <v>3.8</v>
      </c>
      <c r="L175">
        <v>0.01</v>
      </c>
      <c r="M175">
        <v>50</v>
      </c>
      <c r="O175" t="s">
        <v>21</v>
      </c>
      <c r="P175" t="s">
        <v>22</v>
      </c>
    </row>
    <row r="176" spans="1:16">
      <c r="A176" t="s">
        <v>317</v>
      </c>
      <c r="B176" s="2" t="str">
        <f>Hyperlink("https://www.diodes.com/datasheet/download/D3V3S1U2LP1610.pdf")</f>
        <v>https://www.diodes.com/datasheet/download/D3V3S1U2LP1610.pdf</v>
      </c>
      <c r="C176" t="str">
        <f>Hyperlink("https://www.diodes.com/part/view/D3V3S1U2LP1610","D3V3S1U2LP1610")</f>
        <v>D3V3S1U2LP1610</v>
      </c>
      <c r="D176" t="s">
        <v>129</v>
      </c>
      <c r="E176" t="s">
        <v>18</v>
      </c>
      <c r="F176" t="s">
        <v>19</v>
      </c>
      <c r="G176">
        <v>1</v>
      </c>
      <c r="H176" t="s">
        <v>20</v>
      </c>
      <c r="I176">
        <v>1400</v>
      </c>
      <c r="J176">
        <v>3.3</v>
      </c>
      <c r="K176">
        <v>3.8</v>
      </c>
      <c r="M176">
        <v>200</v>
      </c>
      <c r="N176">
        <v>11.5</v>
      </c>
      <c r="O176" t="s">
        <v>21</v>
      </c>
      <c r="P176" t="s">
        <v>87</v>
      </c>
    </row>
    <row r="177" spans="1:16">
      <c r="A177" t="s">
        <v>318</v>
      </c>
      <c r="B177" s="2" t="str">
        <f>Hyperlink("https://www.diodes.com/datasheet/download/D3V3S1U2LP1610Q.pdf")</f>
        <v>https://www.diodes.com/datasheet/download/D3V3S1U2LP1610Q.pdf</v>
      </c>
      <c r="C177" t="str">
        <f>Hyperlink("https://www.diodes.com/part/view/D3V3S1U2LP1610Q","D3V3S1U2LP1610Q")</f>
        <v>D3V3S1U2LP1610Q</v>
      </c>
      <c r="D177" t="s">
        <v>24</v>
      </c>
      <c r="E177" t="s">
        <v>32</v>
      </c>
      <c r="F177" t="s">
        <v>33</v>
      </c>
      <c r="G177">
        <v>1</v>
      </c>
      <c r="H177" t="s">
        <v>20</v>
      </c>
      <c r="I177">
        <v>1400</v>
      </c>
      <c r="J177">
        <v>3.3</v>
      </c>
      <c r="K177">
        <v>3.8</v>
      </c>
      <c r="M177">
        <v>180</v>
      </c>
      <c r="N177">
        <v>12</v>
      </c>
      <c r="O177" t="s">
        <v>21</v>
      </c>
      <c r="P177" t="s">
        <v>87</v>
      </c>
    </row>
    <row r="178" spans="1:16">
      <c r="A178" t="s">
        <v>319</v>
      </c>
      <c r="B178" s="2" t="str">
        <f>Hyperlink("https://www.diodes.com/datasheet/download/D3V3X4U10LP.pdf")</f>
        <v>https://www.diodes.com/datasheet/download/D3V3X4U10LP.pdf</v>
      </c>
      <c r="C178" t="str">
        <f>Hyperlink("https://www.diodes.com/part/view/D3V3X4U10LP","D3V3X4U10LP")</f>
        <v>D3V3X4U10LP</v>
      </c>
      <c r="D178" t="s">
        <v>269</v>
      </c>
      <c r="E178" t="s">
        <v>18</v>
      </c>
      <c r="F178" t="s">
        <v>19</v>
      </c>
      <c r="G178">
        <v>4</v>
      </c>
      <c r="H178" t="s">
        <v>70</v>
      </c>
      <c r="I178">
        <v>0.45</v>
      </c>
      <c r="J178">
        <v>3.3</v>
      </c>
      <c r="K178">
        <v>5.5</v>
      </c>
      <c r="M178">
        <v>3</v>
      </c>
      <c r="O178" t="s">
        <v>37</v>
      </c>
      <c r="P178" t="s">
        <v>271</v>
      </c>
    </row>
    <row r="179" spans="1:16">
      <c r="A179" t="s">
        <v>320</v>
      </c>
      <c r="B179" s="2" t="str">
        <f>Hyperlink("https://www.diodes.com/datasheet/download/D3V3X4U10LPQ.pdf")</f>
        <v>https://www.diodes.com/datasheet/download/D3V3X4U10LPQ.pdf</v>
      </c>
      <c r="C179" t="str">
        <f>Hyperlink("https://www.diodes.com/part/view/D3V3X4U10LPQ","D3V3X4U10LPQ")</f>
        <v>D3V3X4U10LPQ</v>
      </c>
      <c r="D179" t="s">
        <v>73</v>
      </c>
      <c r="E179" t="s">
        <v>32</v>
      </c>
      <c r="F179" t="s">
        <v>33</v>
      </c>
      <c r="G179">
        <v>4</v>
      </c>
      <c r="H179" t="s">
        <v>70</v>
      </c>
      <c r="I179">
        <v>0.45</v>
      </c>
      <c r="J179">
        <v>3.3</v>
      </c>
      <c r="K179">
        <v>5.5</v>
      </c>
      <c r="M179">
        <v>3</v>
      </c>
      <c r="O179" t="s">
        <v>37</v>
      </c>
      <c r="P179" t="s">
        <v>271</v>
      </c>
    </row>
    <row r="180" spans="1:16">
      <c r="A180" t="s">
        <v>321</v>
      </c>
      <c r="B180" s="2" t="str">
        <f>Hyperlink("https://www.diodes.com/datasheet/download/D3V3X8U9LP3810.pdf")</f>
        <v>https://www.diodes.com/datasheet/download/D3V3X8U9LP3810.pdf</v>
      </c>
      <c r="C180" t="str">
        <f>Hyperlink("https://www.diodes.com/part/view/D3V3X8U9LP3810","D3V3X8U9LP3810")</f>
        <v>D3V3X8U9LP3810</v>
      </c>
      <c r="D180" t="s">
        <v>276</v>
      </c>
      <c r="E180" t="s">
        <v>18</v>
      </c>
      <c r="F180" t="s">
        <v>19</v>
      </c>
      <c r="G180">
        <v>8</v>
      </c>
      <c r="H180" t="s">
        <v>277</v>
      </c>
      <c r="I180">
        <v>0.45</v>
      </c>
      <c r="J180">
        <v>3.3</v>
      </c>
      <c r="K180">
        <v>5.5</v>
      </c>
      <c r="M180">
        <v>3</v>
      </c>
      <c r="O180" t="s">
        <v>37</v>
      </c>
      <c r="P180" t="s">
        <v>278</v>
      </c>
    </row>
    <row r="181" spans="1:16">
      <c r="A181" t="s">
        <v>322</v>
      </c>
      <c r="B181" s="2" t="str">
        <f>Hyperlink("https://www.diodes.com/datasheet/download/D3V3XA4B10LP.pdf")</f>
        <v>https://www.diodes.com/datasheet/download/D3V3XA4B10LP.pdf</v>
      </c>
      <c r="C181" t="str">
        <f>Hyperlink("https://www.diodes.com/part/view/D3V3XA4B10LP","D3V3XA4B10LP")</f>
        <v>D3V3XA4B10LP</v>
      </c>
      <c r="D181" t="s">
        <v>73</v>
      </c>
      <c r="E181" t="s">
        <v>18</v>
      </c>
      <c r="F181" t="s">
        <v>19</v>
      </c>
      <c r="G181">
        <v>4</v>
      </c>
      <c r="H181" t="s">
        <v>304</v>
      </c>
      <c r="I181">
        <v>0.28</v>
      </c>
      <c r="J181">
        <v>3.3</v>
      </c>
      <c r="K181">
        <v>5</v>
      </c>
      <c r="M181">
        <v>4</v>
      </c>
      <c r="O181" t="s">
        <v>270</v>
      </c>
      <c r="P181" t="s">
        <v>271</v>
      </c>
    </row>
    <row r="182" spans="1:16">
      <c r="A182" t="s">
        <v>323</v>
      </c>
      <c r="B182" s="2" t="str">
        <f>Hyperlink("https://www.diodes.com/datasheet/download/D3V3XS4B10LP.pdf")</f>
        <v>https://www.diodes.com/datasheet/download/D3V3XS4B10LP.pdf</v>
      </c>
      <c r="C182" t="str">
        <f>Hyperlink("https://www.diodes.com/part/view/D3V3XS4B10LP","D3V3XS4B10LP")</f>
        <v>D3V3XS4B10LP</v>
      </c>
      <c r="D182" t="s">
        <v>73</v>
      </c>
      <c r="E182" t="s">
        <v>18</v>
      </c>
      <c r="F182" t="s">
        <v>19</v>
      </c>
      <c r="G182">
        <v>4</v>
      </c>
      <c r="H182" t="s">
        <v>304</v>
      </c>
      <c r="I182">
        <v>0.23</v>
      </c>
      <c r="J182">
        <v>3.3</v>
      </c>
      <c r="K182">
        <v>5</v>
      </c>
      <c r="M182">
        <v>3.5</v>
      </c>
      <c r="O182" t="s">
        <v>37</v>
      </c>
      <c r="P182" t="s">
        <v>271</v>
      </c>
    </row>
    <row r="183" spans="1:16">
      <c r="A183" t="s">
        <v>324</v>
      </c>
      <c r="B183" s="2" t="str">
        <f>Hyperlink("https://www.diodes.com/datasheet/download/D3V3Z1B2LP.pdf")</f>
        <v>https://www.diodes.com/datasheet/download/D3V3Z1B2LP.pdf</v>
      </c>
      <c r="C183" t="str">
        <f>Hyperlink("https://www.diodes.com/part/view/D3V3Z1B2LP","D3V3Z1B2LP")</f>
        <v>D3V3Z1B2LP</v>
      </c>
      <c r="D183" t="s">
        <v>31</v>
      </c>
      <c r="E183" t="s">
        <v>18</v>
      </c>
      <c r="F183" t="s">
        <v>19</v>
      </c>
      <c r="G183">
        <v>1</v>
      </c>
      <c r="H183" t="s">
        <v>28</v>
      </c>
      <c r="I183">
        <v>0.25</v>
      </c>
      <c r="J183">
        <v>3.3</v>
      </c>
      <c r="K183">
        <v>4.7</v>
      </c>
      <c r="M183">
        <v>4</v>
      </c>
      <c r="N183">
        <v>17</v>
      </c>
      <c r="O183" t="s">
        <v>54</v>
      </c>
      <c r="P183" t="s">
        <v>22</v>
      </c>
    </row>
    <row r="184" spans="1:16">
      <c r="A184" t="s">
        <v>325</v>
      </c>
      <c r="B184" s="2" t="str">
        <f>Hyperlink("https://www.diodes.com/datasheet/download/D3V3Z1B2LP3.pdf")</f>
        <v>https://www.diodes.com/datasheet/download/D3V3Z1B2LP3.pdf</v>
      </c>
      <c r="C184" t="str">
        <f>Hyperlink("https://www.diodes.com/part/view/D3V3Z1B2LP3","D3V3Z1B2LP3")</f>
        <v>D3V3Z1B2LP3</v>
      </c>
      <c r="D184" t="s">
        <v>31</v>
      </c>
      <c r="E184" t="s">
        <v>18</v>
      </c>
      <c r="F184" t="s">
        <v>19</v>
      </c>
      <c r="G184">
        <v>1</v>
      </c>
      <c r="H184" t="s">
        <v>28</v>
      </c>
      <c r="I184">
        <v>0.25</v>
      </c>
      <c r="J184">
        <v>3.3</v>
      </c>
      <c r="K184">
        <v>4.7</v>
      </c>
      <c r="M184">
        <v>4</v>
      </c>
      <c r="N184">
        <v>17</v>
      </c>
      <c r="O184" t="s">
        <v>54</v>
      </c>
      <c r="P184" t="s">
        <v>326</v>
      </c>
    </row>
    <row r="185" spans="1:16">
      <c r="A185" t="s">
        <v>327</v>
      </c>
      <c r="B185" s="2" t="str">
        <f>Hyperlink("https://www.diodes.com/datasheet/download/D3V3Z1B2LPQ.pdf")</f>
        <v>https://www.diodes.com/datasheet/download/D3V3Z1B2LPQ.pdf</v>
      </c>
      <c r="C185" t="str">
        <f>Hyperlink("https://www.diodes.com/part/view/D3V3Z1B2LPQ","D3V3Z1B2LPQ")</f>
        <v>D3V3Z1B2LPQ</v>
      </c>
      <c r="D185" t="s">
        <v>31</v>
      </c>
      <c r="E185" t="s">
        <v>32</v>
      </c>
      <c r="F185" t="s">
        <v>33</v>
      </c>
      <c r="G185">
        <v>1</v>
      </c>
      <c r="H185" t="s">
        <v>28</v>
      </c>
      <c r="I185">
        <v>0.25</v>
      </c>
      <c r="J185">
        <v>3.3</v>
      </c>
      <c r="K185">
        <v>4.7</v>
      </c>
      <c r="M185">
        <v>4</v>
      </c>
      <c r="N185">
        <v>17</v>
      </c>
      <c r="O185" t="s">
        <v>54</v>
      </c>
      <c r="P185" t="s">
        <v>22</v>
      </c>
    </row>
    <row r="186" spans="1:16">
      <c r="A186" t="s">
        <v>328</v>
      </c>
      <c r="B186" s="2" t="str">
        <f>Hyperlink("https://www.diodes.com/datasheet/download/D3V3Z1B2LPSQ.pdf")</f>
        <v>https://www.diodes.com/datasheet/download/D3V3Z1B2LPSQ.pdf</v>
      </c>
      <c r="C186" t="str">
        <f>Hyperlink("https://www.diodes.com/part/view/D3V3Z1B2LPSQ","D3V3Z1B2LPSQ")</f>
        <v>D3V3Z1B2LPSQ</v>
      </c>
      <c r="D186" t="s">
        <v>31</v>
      </c>
      <c r="E186" t="s">
        <v>32</v>
      </c>
      <c r="F186" t="s">
        <v>33</v>
      </c>
      <c r="G186">
        <v>1</v>
      </c>
      <c r="H186" t="s">
        <v>28</v>
      </c>
      <c r="I186">
        <v>0.25</v>
      </c>
      <c r="J186">
        <v>3.3</v>
      </c>
      <c r="K186">
        <v>4.7</v>
      </c>
      <c r="M186">
        <v>3.5</v>
      </c>
      <c r="N186">
        <v>17</v>
      </c>
      <c r="O186" t="s">
        <v>29</v>
      </c>
      <c r="P186" t="s">
        <v>329</v>
      </c>
    </row>
    <row r="187" spans="1:16">
      <c r="A187" t="s">
        <v>330</v>
      </c>
      <c r="B187" s="2" t="str">
        <f>Hyperlink("https://www.diodes.com/datasheet/download/D3V3Z1BD2CSP.pdf")</f>
        <v>https://www.diodes.com/datasheet/download/D3V3Z1BD2CSP.pdf</v>
      </c>
      <c r="C187" t="str">
        <f>Hyperlink("https://www.diodes.com/part/view/D3V3Z1BD2CSP","D3V3Z1BD2CSP")</f>
        <v>D3V3Z1BD2CSP</v>
      </c>
      <c r="D187" t="s">
        <v>116</v>
      </c>
      <c r="E187" t="s">
        <v>18</v>
      </c>
      <c r="F187" t="s">
        <v>19</v>
      </c>
      <c r="G187">
        <v>1</v>
      </c>
      <c r="H187" t="s">
        <v>28</v>
      </c>
      <c r="I187">
        <v>0.3</v>
      </c>
      <c r="J187">
        <v>3.3</v>
      </c>
      <c r="K187">
        <v>5</v>
      </c>
      <c r="M187">
        <v>10.5</v>
      </c>
      <c r="O187" t="s">
        <v>29</v>
      </c>
      <c r="P187" t="s">
        <v>118</v>
      </c>
    </row>
    <row r="188" spans="1:16">
      <c r="A188" t="s">
        <v>331</v>
      </c>
      <c r="B188" s="2" t="str">
        <f>Hyperlink("https://www.diodes.com/datasheet/download/D3V3Z1BD2CSPQ.pdf")</f>
        <v>https://www.diodes.com/datasheet/download/D3V3Z1BD2CSPQ.pdf</v>
      </c>
      <c r="C188" t="str">
        <f>Hyperlink("https://www.diodes.com/part/view/D3V3Z1BD2CSPQ","D3V3Z1BD2CSPQ")</f>
        <v>D3V3Z1BD2CSPQ</v>
      </c>
      <c r="D188" t="s">
        <v>116</v>
      </c>
      <c r="E188" t="s">
        <v>32</v>
      </c>
      <c r="F188" t="s">
        <v>33</v>
      </c>
      <c r="G188">
        <v>1</v>
      </c>
      <c r="H188" t="s">
        <v>28</v>
      </c>
      <c r="I188">
        <v>0.3</v>
      </c>
      <c r="J188">
        <v>3.3</v>
      </c>
      <c r="K188">
        <v>5</v>
      </c>
      <c r="M188">
        <v>10.5</v>
      </c>
      <c r="O188" t="s">
        <v>29</v>
      </c>
      <c r="P188" t="s">
        <v>118</v>
      </c>
    </row>
    <row r="189" spans="1:16">
      <c r="A189" t="s">
        <v>332</v>
      </c>
      <c r="B189" s="2" t="str">
        <f>Hyperlink("https://www.diodes.com/datasheet/download/D3V3Z4BD10LPQ.pdf")</f>
        <v>https://www.diodes.com/datasheet/download/D3V3Z4BD10LPQ.pdf</v>
      </c>
      <c r="C189" t="str">
        <f>Hyperlink("https://www.diodes.com/part/view/D3V3Z4BD10LPQ","D3V3Z4BD10LPQ")</f>
        <v>D3V3Z4BD10LPQ</v>
      </c>
      <c r="D189" t="s">
        <v>79</v>
      </c>
      <c r="E189" t="s">
        <v>32</v>
      </c>
      <c r="F189" t="s">
        <v>33</v>
      </c>
      <c r="G189">
        <v>4</v>
      </c>
      <c r="H189" t="s">
        <v>304</v>
      </c>
      <c r="I189">
        <v>0.32</v>
      </c>
      <c r="J189">
        <v>3.3</v>
      </c>
      <c r="K189">
        <v>6</v>
      </c>
      <c r="M189">
        <v>7</v>
      </c>
      <c r="O189" t="s">
        <v>154</v>
      </c>
      <c r="P189" t="s">
        <v>271</v>
      </c>
    </row>
    <row r="190" spans="1:16">
      <c r="A190" t="s">
        <v>333</v>
      </c>
      <c r="B190" s="2" t="str">
        <f>Hyperlink("https://www.diodes.com/datasheet/download/D3V3ZF1BD2CSP.pdf")</f>
        <v>https://www.diodes.com/datasheet/download/D3V3ZF1BD2CSP.pdf</v>
      </c>
      <c r="C190" t="str">
        <f>Hyperlink("https://www.diodes.com/part/view/D3V3ZF1BD2CSP","D3V3ZF1BD2CSP")</f>
        <v>D3V3ZF1BD2CSP</v>
      </c>
      <c r="D190" t="s">
        <v>116</v>
      </c>
      <c r="E190" t="s">
        <v>18</v>
      </c>
      <c r="F190" t="s">
        <v>19</v>
      </c>
      <c r="G190">
        <v>1</v>
      </c>
      <c r="H190" t="s">
        <v>28</v>
      </c>
      <c r="I190">
        <v>0.23</v>
      </c>
      <c r="J190">
        <v>3.3</v>
      </c>
      <c r="K190">
        <v>5</v>
      </c>
      <c r="M190">
        <v>10.5</v>
      </c>
      <c r="O190" t="s">
        <v>29</v>
      </c>
      <c r="P190" t="s">
        <v>118</v>
      </c>
    </row>
    <row r="191" spans="1:16">
      <c r="A191" t="s">
        <v>334</v>
      </c>
      <c r="B191" s="2" t="str">
        <f>Hyperlink("https://www.diodes.com/datasheet/download/ds41785.pdf")</f>
        <v>https://www.diodes.com/datasheet/download/ds41785.pdf</v>
      </c>
      <c r="C191" t="str">
        <f>Hyperlink("https://www.diodes.com/part/view/D40V0S1U2LP1608","D40V0S1U2LP1608")</f>
        <v>D40V0S1U2LP1608</v>
      </c>
      <c r="D191" t="s">
        <v>24</v>
      </c>
      <c r="E191" t="s">
        <v>18</v>
      </c>
      <c r="F191" t="s">
        <v>19</v>
      </c>
      <c r="G191">
        <v>1</v>
      </c>
      <c r="H191" t="s">
        <v>20</v>
      </c>
      <c r="I191">
        <v>138</v>
      </c>
      <c r="J191">
        <v>40</v>
      </c>
      <c r="K191">
        <v>45</v>
      </c>
      <c r="M191">
        <v>14</v>
      </c>
      <c r="N191">
        <v>75</v>
      </c>
      <c r="O191" t="s">
        <v>21</v>
      </c>
      <c r="P191" t="s">
        <v>110</v>
      </c>
    </row>
    <row r="192" spans="1:16">
      <c r="A192" t="s">
        <v>335</v>
      </c>
      <c r="B192" s="2" t="str">
        <f>Hyperlink("https://www.diodes.com/datasheet/download/D40V0S1U2LP1608Q.pdf")</f>
        <v>https://www.diodes.com/datasheet/download/D40V0S1U2LP1608Q.pdf</v>
      </c>
      <c r="C192" t="str">
        <f>Hyperlink("https://www.diodes.com/part/view/D40V0S1U2LP1608Q","D40V0S1U2LP1608Q")</f>
        <v>D40V0S1U2LP1608Q</v>
      </c>
      <c r="D192" t="s">
        <v>24</v>
      </c>
      <c r="E192" t="s">
        <v>32</v>
      </c>
      <c r="F192" t="s">
        <v>33</v>
      </c>
      <c r="G192">
        <v>1</v>
      </c>
      <c r="H192" t="s">
        <v>20</v>
      </c>
      <c r="I192">
        <v>138</v>
      </c>
      <c r="J192">
        <v>40</v>
      </c>
      <c r="K192">
        <v>45</v>
      </c>
      <c r="M192">
        <v>14</v>
      </c>
      <c r="N192">
        <v>75</v>
      </c>
      <c r="O192" t="s">
        <v>21</v>
      </c>
      <c r="P192" t="s">
        <v>110</v>
      </c>
    </row>
    <row r="193" spans="1:16">
      <c r="A193" t="s">
        <v>336</v>
      </c>
      <c r="B193" s="2" t="str">
        <f>Hyperlink("https://www.diodes.com/datasheet/download/D12V0S1U2LP1610_D50V0S1U2LP1610.pdf")</f>
        <v>https://www.diodes.com/datasheet/download/D12V0S1U2LP1610_D50V0S1U2LP1610.pdf</v>
      </c>
      <c r="C193" t="str">
        <f>Hyperlink("https://www.diodes.com/part/view/D40V0S1U2LP1610","D40V0S1U2LP1610")</f>
        <v>D40V0S1U2LP1610</v>
      </c>
      <c r="D193" t="s">
        <v>24</v>
      </c>
      <c r="E193" t="s">
        <v>18</v>
      </c>
      <c r="F193" t="s">
        <v>19</v>
      </c>
      <c r="G193">
        <v>1</v>
      </c>
      <c r="H193" t="s">
        <v>20</v>
      </c>
      <c r="I193">
        <v>143</v>
      </c>
      <c r="J193">
        <v>40</v>
      </c>
      <c r="K193">
        <v>45</v>
      </c>
      <c r="M193">
        <v>13</v>
      </c>
      <c r="N193">
        <v>73</v>
      </c>
      <c r="O193" t="s">
        <v>21</v>
      </c>
      <c r="P193" t="s">
        <v>87</v>
      </c>
    </row>
    <row r="194" spans="1:16">
      <c r="A194" t="s">
        <v>337</v>
      </c>
      <c r="B194" s="2" t="str">
        <f>Hyperlink("https://www.diodes.com/datasheet/download/D12V0S1U2LP1610_D50V0S1U2LP1610.pdf")</f>
        <v>https://www.diodes.com/datasheet/download/D12V0S1U2LP1610_D50V0S1U2LP1610.pdf</v>
      </c>
      <c r="C194" t="str">
        <f>Hyperlink("https://www.diodes.com/part/view/D48V0S1U2LP1610","D48V0S1U2LP1610")</f>
        <v>D48V0S1U2LP1610</v>
      </c>
      <c r="D194" t="s">
        <v>24</v>
      </c>
      <c r="E194" t="s">
        <v>18</v>
      </c>
      <c r="F194" t="s">
        <v>19</v>
      </c>
      <c r="G194">
        <v>1</v>
      </c>
      <c r="H194" t="s">
        <v>20</v>
      </c>
      <c r="I194">
        <v>140</v>
      </c>
      <c r="J194">
        <v>48</v>
      </c>
      <c r="K194">
        <v>53</v>
      </c>
      <c r="M194">
        <v>15</v>
      </c>
      <c r="N194">
        <v>84</v>
      </c>
      <c r="O194" t="s">
        <v>21</v>
      </c>
      <c r="P194" t="s">
        <v>87</v>
      </c>
    </row>
    <row r="195" spans="1:16">
      <c r="A195" t="s">
        <v>338</v>
      </c>
      <c r="B195" s="2" t="str">
        <f>Hyperlink("https://www.diodes.com/datasheet/download/D7V5S1U3LP20-D48V0S1U3LP20.pdf")</f>
        <v>https://www.diodes.com/datasheet/download/D7V5S1U3LP20-D48V0S1U3LP20.pdf</v>
      </c>
      <c r="C195" t="str">
        <f>Hyperlink("https://www.diodes.com/part/view/D48V0S1U3LP20","D48V0S1U3LP20")</f>
        <v>D48V0S1U3LP20</v>
      </c>
      <c r="D195" t="s">
        <v>24</v>
      </c>
      <c r="E195" t="s">
        <v>18</v>
      </c>
      <c r="F195" t="s">
        <v>19</v>
      </c>
      <c r="G195">
        <v>1</v>
      </c>
      <c r="H195" t="s">
        <v>20</v>
      </c>
      <c r="I195">
        <v>420</v>
      </c>
      <c r="J195">
        <v>48</v>
      </c>
      <c r="K195">
        <v>53.1</v>
      </c>
      <c r="M195">
        <v>43</v>
      </c>
      <c r="N195">
        <v>85</v>
      </c>
      <c r="O195" t="s">
        <v>21</v>
      </c>
      <c r="P195" t="s">
        <v>222</v>
      </c>
    </row>
    <row r="196" spans="1:16">
      <c r="A196" t="s">
        <v>339</v>
      </c>
      <c r="B196" s="2" t="str">
        <f>Hyperlink("https://www.diodes.com/datasheet/download/D4V5H1BS2LP.pdf")</f>
        <v>https://www.diodes.com/datasheet/download/D4V5H1BS2LP.pdf</v>
      </c>
      <c r="C196" t="str">
        <f>Hyperlink("https://www.diodes.com/part/view/D4V5H1BS2LP","D4V5H1BS2LP")</f>
        <v>D4V5H1BS2LP</v>
      </c>
      <c r="D196" t="s">
        <v>167</v>
      </c>
      <c r="E196" t="s">
        <v>18</v>
      </c>
      <c r="F196" t="s">
        <v>19</v>
      </c>
      <c r="G196">
        <v>1</v>
      </c>
      <c r="H196" t="s">
        <v>28</v>
      </c>
      <c r="I196">
        <v>120</v>
      </c>
      <c r="J196">
        <v>4.5</v>
      </c>
      <c r="K196">
        <v>4.8</v>
      </c>
      <c r="M196">
        <v>60</v>
      </c>
      <c r="O196" t="s">
        <v>21</v>
      </c>
      <c r="P196" t="s">
        <v>22</v>
      </c>
    </row>
    <row r="197" spans="1:16">
      <c r="A197" t="s">
        <v>340</v>
      </c>
      <c r="B197" s="2" t="str">
        <f>Hyperlink("https://www.diodes.com/datasheet/download/D4V5H1BS2LP4.pdf")</f>
        <v>https://www.diodes.com/datasheet/download/D4V5H1BS2LP4.pdf</v>
      </c>
      <c r="C197" t="str">
        <f>Hyperlink("https://www.diodes.com/part/view/D4V5H1BS2LP4","D4V5H1BS2LP4")</f>
        <v>D4V5H1BS2LP4</v>
      </c>
      <c r="D197" t="s">
        <v>341</v>
      </c>
      <c r="E197" t="s">
        <v>18</v>
      </c>
      <c r="F197" t="s">
        <v>19</v>
      </c>
      <c r="G197">
        <v>1</v>
      </c>
      <c r="H197" t="s">
        <v>28</v>
      </c>
      <c r="I197">
        <v>120</v>
      </c>
      <c r="J197">
        <v>4.5</v>
      </c>
      <c r="K197">
        <v>4.8</v>
      </c>
      <c r="M197">
        <v>60</v>
      </c>
      <c r="O197" t="s">
        <v>21</v>
      </c>
      <c r="P197" t="s">
        <v>34</v>
      </c>
    </row>
    <row r="198" spans="1:16">
      <c r="A198" t="s">
        <v>342</v>
      </c>
      <c r="B198" s="2" t="str">
        <f>Hyperlink("https://www.diodes.com/datasheet/download/D4V5H1U2LP1610.pdf")</f>
        <v>https://www.diodes.com/datasheet/download/D4V5H1U2LP1610.pdf</v>
      </c>
      <c r="C198" t="str">
        <f>Hyperlink("https://www.diodes.com/part/view/D4V5H1U2LP1610","D4V5H1U2LP1610")</f>
        <v>D4V5H1U2LP1610</v>
      </c>
      <c r="D198" t="s">
        <v>129</v>
      </c>
      <c r="E198" t="s">
        <v>18</v>
      </c>
      <c r="F198" t="s">
        <v>19</v>
      </c>
      <c r="G198">
        <v>1</v>
      </c>
      <c r="H198" t="s">
        <v>20</v>
      </c>
      <c r="I198">
        <v>800</v>
      </c>
      <c r="J198">
        <v>4.5</v>
      </c>
      <c r="K198">
        <v>5.5</v>
      </c>
      <c r="M198">
        <v>90</v>
      </c>
      <c r="N198">
        <v>13</v>
      </c>
      <c r="O198" t="s">
        <v>21</v>
      </c>
      <c r="P198" t="s">
        <v>87</v>
      </c>
    </row>
    <row r="199" spans="1:16">
      <c r="A199" t="s">
        <v>343</v>
      </c>
      <c r="B199" s="2" t="str">
        <f>Hyperlink("https://www.diodes.com/datasheet/download/D4V5H1U2LP1610Q.pdf")</f>
        <v>https://www.diodes.com/datasheet/download/D4V5H1U2LP1610Q.pdf</v>
      </c>
      <c r="C199" t="str">
        <f>Hyperlink("https://www.diodes.com/part/view/D4V5H1U2LP1610Q","D4V5H1U2LP1610Q")</f>
        <v>D4V5H1U2LP1610Q</v>
      </c>
      <c r="D199" t="s">
        <v>113</v>
      </c>
      <c r="E199" t="s">
        <v>32</v>
      </c>
      <c r="F199" t="s">
        <v>33</v>
      </c>
      <c r="G199">
        <v>1</v>
      </c>
      <c r="H199" t="s">
        <v>20</v>
      </c>
      <c r="I199">
        <v>800</v>
      </c>
      <c r="J199">
        <v>4.5</v>
      </c>
      <c r="K199">
        <v>5.5</v>
      </c>
      <c r="M199">
        <v>90</v>
      </c>
      <c r="N199">
        <v>13</v>
      </c>
      <c r="O199" t="s">
        <v>21</v>
      </c>
      <c r="P199" t="s">
        <v>87</v>
      </c>
    </row>
    <row r="200" spans="1:16">
      <c r="A200" t="s">
        <v>344</v>
      </c>
      <c r="B200" s="2" t="str">
        <f>Hyperlink("https://www.diodes.com/datasheet/download/D4V7S1US2SLP.pdf")</f>
        <v>https://www.diodes.com/datasheet/download/D4V7S1US2SLP.pdf</v>
      </c>
      <c r="C200" t="str">
        <f>Hyperlink("https://www.diodes.com/part/view/D4V7S1US2SLP","D4V7S1US2SLP")</f>
        <v>D4V7S1US2SLP</v>
      </c>
      <c r="D200" t="s">
        <v>17</v>
      </c>
      <c r="E200" t="s">
        <v>18</v>
      </c>
      <c r="F200" t="s">
        <v>19</v>
      </c>
      <c r="G200">
        <v>1</v>
      </c>
      <c r="H200" t="s">
        <v>20</v>
      </c>
      <c r="I200">
        <v>290</v>
      </c>
      <c r="J200">
        <v>4.7</v>
      </c>
      <c r="K200">
        <v>4.8</v>
      </c>
      <c r="L200">
        <v>0.01</v>
      </c>
      <c r="M200">
        <v>90</v>
      </c>
      <c r="O200" t="s">
        <v>21</v>
      </c>
      <c r="P200" t="s">
        <v>345</v>
      </c>
    </row>
    <row r="201" spans="1:16">
      <c r="A201" t="s">
        <v>346</v>
      </c>
      <c r="B201" s="2" t="str">
        <f>Hyperlink("https://www.diodes.com/datasheet/download/ds41785.pdf")</f>
        <v>https://www.diodes.com/datasheet/download/ds41785.pdf</v>
      </c>
      <c r="C201" t="str">
        <f>Hyperlink("https://www.diodes.com/part/view/D50V0S1U2LP1608","D50V0S1U2LP1608")</f>
        <v>D50V0S1U2LP1608</v>
      </c>
      <c r="D201" t="s">
        <v>24</v>
      </c>
      <c r="E201" t="s">
        <v>18</v>
      </c>
      <c r="F201" t="s">
        <v>19</v>
      </c>
      <c r="G201">
        <v>1</v>
      </c>
      <c r="H201" t="s">
        <v>20</v>
      </c>
      <c r="I201">
        <v>126</v>
      </c>
      <c r="J201">
        <v>50</v>
      </c>
      <c r="K201">
        <v>56</v>
      </c>
      <c r="M201">
        <v>15</v>
      </c>
      <c r="N201">
        <v>90</v>
      </c>
      <c r="O201" t="s">
        <v>21</v>
      </c>
      <c r="P201" t="s">
        <v>110</v>
      </c>
    </row>
    <row r="202" spans="1:16">
      <c r="A202" t="s">
        <v>347</v>
      </c>
      <c r="B202" s="2" t="str">
        <f>Hyperlink("https://www.diodes.com/datasheet/download/D12V0S1U2LP1610_D50V0S1U2LP1610.pdf")</f>
        <v>https://www.diodes.com/datasheet/download/D12V0S1U2LP1610_D50V0S1U2LP1610.pdf</v>
      </c>
      <c r="C202" t="str">
        <f>Hyperlink("https://www.diodes.com/part/view/D50V0S1U2LP1610","D50V0S1U2LP1610")</f>
        <v>D50V0S1U2LP1610</v>
      </c>
      <c r="D202" t="s">
        <v>24</v>
      </c>
      <c r="E202" t="s">
        <v>18</v>
      </c>
      <c r="F202" t="s">
        <v>19</v>
      </c>
      <c r="G202">
        <v>1</v>
      </c>
      <c r="H202" t="s">
        <v>20</v>
      </c>
      <c r="I202">
        <v>132</v>
      </c>
      <c r="J202">
        <v>50</v>
      </c>
      <c r="K202">
        <v>56</v>
      </c>
      <c r="M202">
        <v>15</v>
      </c>
      <c r="N202">
        <v>88</v>
      </c>
      <c r="O202" t="s">
        <v>21</v>
      </c>
      <c r="P202" t="s">
        <v>87</v>
      </c>
    </row>
    <row r="203" spans="1:16">
      <c r="A203" t="s">
        <v>348</v>
      </c>
      <c r="B203" s="2" t="str">
        <f>Hyperlink("https://www.diodes.com/datasheet/download/D55V0M1B2WS.pdf")</f>
        <v>https://www.diodes.com/datasheet/download/D55V0M1B2WS.pdf</v>
      </c>
      <c r="C203" t="str">
        <f>Hyperlink("https://www.diodes.com/part/view/D55V0M1B2WS","D55V0M1B2WS")</f>
        <v>D55V0M1B2WS</v>
      </c>
      <c r="E203" t="s">
        <v>18</v>
      </c>
      <c r="F203" t="s">
        <v>19</v>
      </c>
      <c r="G203">
        <v>1</v>
      </c>
      <c r="H203" t="s">
        <v>28</v>
      </c>
      <c r="I203">
        <v>14</v>
      </c>
      <c r="J203">
        <v>55</v>
      </c>
      <c r="K203">
        <v>57</v>
      </c>
      <c r="M203">
        <v>2</v>
      </c>
      <c r="N203">
        <v>100</v>
      </c>
      <c r="O203" t="s">
        <v>54</v>
      </c>
      <c r="P203" t="s">
        <v>51</v>
      </c>
    </row>
    <row r="204" spans="1:16">
      <c r="A204" t="s">
        <v>349</v>
      </c>
      <c r="B204" s="2" t="str">
        <f>Hyperlink("https://www.diodes.com/datasheet/download/D55V0M1B2WSQ.pdf")</f>
        <v>https://www.diodes.com/datasheet/download/D55V0M1B2WSQ.pdf</v>
      </c>
      <c r="C204" t="str">
        <f>Hyperlink("https://www.diodes.com/part/view/D55V0M1B2WSQ","D55V0M1B2WSQ")</f>
        <v>D55V0M1B2WSQ</v>
      </c>
      <c r="D204" t="s">
        <v>350</v>
      </c>
      <c r="E204" t="s">
        <v>32</v>
      </c>
      <c r="F204" t="s">
        <v>33</v>
      </c>
      <c r="G204">
        <v>1</v>
      </c>
      <c r="H204" t="s">
        <v>28</v>
      </c>
      <c r="I204">
        <v>14</v>
      </c>
      <c r="J204">
        <v>55</v>
      </c>
      <c r="K204">
        <v>57</v>
      </c>
      <c r="M204">
        <v>2</v>
      </c>
      <c r="N204">
        <v>100</v>
      </c>
      <c r="O204" t="s">
        <v>54</v>
      </c>
      <c r="P204" t="s">
        <v>51</v>
      </c>
    </row>
    <row r="205" spans="1:16">
      <c r="A205" t="s">
        <v>351</v>
      </c>
      <c r="B205" s="2" t="str">
        <f>Hyperlink("https://www.diodes.com/datasheet/download/D58V0M4U8MR.pdf")</f>
        <v>https://www.diodes.com/datasheet/download/D58V0M4U8MR.pdf</v>
      </c>
      <c r="C205" t="str">
        <f>Hyperlink("https://www.diodes.com/part/view/D58V0M4U8MR","D58V0M4U8MR")</f>
        <v>D58V0M4U8MR</v>
      </c>
      <c r="E205" t="s">
        <v>18</v>
      </c>
      <c r="F205" t="s">
        <v>19</v>
      </c>
      <c r="G205">
        <v>4</v>
      </c>
      <c r="H205" t="s">
        <v>70</v>
      </c>
      <c r="I205">
        <v>55</v>
      </c>
      <c r="J205">
        <v>58</v>
      </c>
      <c r="K205">
        <v>64.40000000000001</v>
      </c>
      <c r="M205">
        <v>24</v>
      </c>
      <c r="N205">
        <v>100</v>
      </c>
      <c r="O205" t="s">
        <v>21</v>
      </c>
      <c r="P205" t="s">
        <v>242</v>
      </c>
    </row>
    <row r="206" spans="1:16">
      <c r="A206" t="s">
        <v>352</v>
      </c>
      <c r="B206" s="2" t="str">
        <f>Hyperlink("https://www.diodes.com/datasheet/download/D5V0AP2WF.pdf")</f>
        <v>https://www.diodes.com/datasheet/download/D5V0AP2WF.pdf</v>
      </c>
      <c r="C206" t="str">
        <f>Hyperlink("https://www.diodes.com/part/view/D5V0AP2WF","D5V0AP2WF")</f>
        <v>D5V0AP2WF</v>
      </c>
      <c r="D206" t="s">
        <v>124</v>
      </c>
      <c r="E206" t="s">
        <v>18</v>
      </c>
      <c r="F206" t="s">
        <v>19</v>
      </c>
      <c r="G206">
        <v>1</v>
      </c>
      <c r="H206" t="s">
        <v>20</v>
      </c>
      <c r="J206">
        <v>5</v>
      </c>
      <c r="K206">
        <v>6.4</v>
      </c>
      <c r="M206">
        <v>24.5</v>
      </c>
      <c r="N206">
        <v>9.2</v>
      </c>
      <c r="O206" t="s">
        <v>21</v>
      </c>
      <c r="P206" t="s">
        <v>150</v>
      </c>
    </row>
    <row r="207" spans="1:16">
      <c r="A207" t="s">
        <v>353</v>
      </c>
      <c r="B207" s="2" t="str">
        <f>Hyperlink("https://www.diodes.com/datasheet/download/D5V0F1B2WS.pdf")</f>
        <v>https://www.diodes.com/datasheet/download/D5V0F1B2WS.pdf</v>
      </c>
      <c r="C207" t="str">
        <f>Hyperlink("https://www.diodes.com/part/view/D5V0F1B2WS","D5V0F1B2WS")</f>
        <v>D5V0F1B2WS</v>
      </c>
      <c r="D207" t="s">
        <v>354</v>
      </c>
      <c r="E207" t="s">
        <v>18</v>
      </c>
      <c r="F207" t="s">
        <v>19</v>
      </c>
      <c r="G207">
        <v>1</v>
      </c>
      <c r="H207" t="s">
        <v>28</v>
      </c>
      <c r="I207">
        <v>2</v>
      </c>
      <c r="J207">
        <v>5</v>
      </c>
      <c r="K207">
        <v>6</v>
      </c>
      <c r="M207">
        <v>17</v>
      </c>
      <c r="N207">
        <v>15</v>
      </c>
      <c r="O207" t="s">
        <v>54</v>
      </c>
      <c r="P207" t="s">
        <v>51</v>
      </c>
    </row>
    <row r="208" spans="1:16">
      <c r="A208" t="s">
        <v>355</v>
      </c>
      <c r="B208" s="2" t="str">
        <f>Hyperlink("https://www.diodes.com/datasheet/download/D5V0F1U2LP.pdf")</f>
        <v>https://www.diodes.com/datasheet/download/D5V0F1U2LP.pdf</v>
      </c>
      <c r="C208" t="str">
        <f>Hyperlink("https://www.diodes.com/part/view/D5V0F1U2LP","D5V0F1U2LP")</f>
        <v>D5V0F1U2LP</v>
      </c>
      <c r="E208" t="s">
        <v>18</v>
      </c>
      <c r="F208" t="s">
        <v>33</v>
      </c>
      <c r="G208">
        <v>1</v>
      </c>
      <c r="H208" t="s">
        <v>20</v>
      </c>
      <c r="I208">
        <v>0.5</v>
      </c>
      <c r="J208">
        <v>5.5</v>
      </c>
      <c r="K208">
        <v>6</v>
      </c>
      <c r="M208">
        <v>1.5</v>
      </c>
      <c r="O208" t="s">
        <v>154</v>
      </c>
      <c r="P208" t="s">
        <v>22</v>
      </c>
    </row>
    <row r="209" spans="1:16">
      <c r="A209" t="s">
        <v>356</v>
      </c>
      <c r="B209" s="2" t="str">
        <f>Hyperlink("https://www.diodes.com/datasheet/download/D5V0F1U2LP3.pdf")</f>
        <v>https://www.diodes.com/datasheet/download/D5V0F1U2LP3.pdf</v>
      </c>
      <c r="C209" t="str">
        <f>Hyperlink("https://www.diodes.com/part/view/D5V0F1U2LP3","D5V0F1U2LP3")</f>
        <v>D5V0F1U2LP3</v>
      </c>
      <c r="E209" t="s">
        <v>18</v>
      </c>
      <c r="F209" t="s">
        <v>19</v>
      </c>
      <c r="G209">
        <v>1</v>
      </c>
      <c r="H209" t="s">
        <v>20</v>
      </c>
      <c r="I209">
        <v>0.5</v>
      </c>
      <c r="J209">
        <v>5.5</v>
      </c>
      <c r="K209">
        <v>6</v>
      </c>
      <c r="M209">
        <v>1.5</v>
      </c>
      <c r="O209" t="s">
        <v>154</v>
      </c>
      <c r="P209" t="s">
        <v>100</v>
      </c>
    </row>
    <row r="210" spans="1:16">
      <c r="A210" t="s">
        <v>357</v>
      </c>
      <c r="B210" s="2" t="str">
        <f>Hyperlink("https://www.diodes.com/datasheet/download/D5V0F1U2LP3Q.pdf")</f>
        <v>https://www.diodes.com/datasheet/download/D5V0F1U2LP3Q.pdf</v>
      </c>
      <c r="C210" t="str">
        <f>Hyperlink("https://www.diodes.com/part/view/D5V0F1U2LP3Q","D5V0F1U2LP3Q")</f>
        <v>D5V0F1U2LP3Q</v>
      </c>
      <c r="D210" t="s">
        <v>358</v>
      </c>
      <c r="E210" t="s">
        <v>32</v>
      </c>
      <c r="F210" t="s">
        <v>33</v>
      </c>
      <c r="G210">
        <v>1</v>
      </c>
      <c r="H210" t="s">
        <v>20</v>
      </c>
      <c r="I210">
        <v>0.5</v>
      </c>
      <c r="J210">
        <v>5.5</v>
      </c>
      <c r="K210">
        <v>6</v>
      </c>
      <c r="M210">
        <v>1.5</v>
      </c>
      <c r="O210" t="s">
        <v>154</v>
      </c>
      <c r="P210" t="s">
        <v>100</v>
      </c>
    </row>
    <row r="211" spans="1:16">
      <c r="A211" t="s">
        <v>359</v>
      </c>
      <c r="B211" s="2" t="str">
        <f>Hyperlink("https://www.diodes.com/datasheet/download/D5V0F1U2LPQ.pdf")</f>
        <v>https://www.diodes.com/datasheet/download/D5V0F1U2LPQ.pdf</v>
      </c>
      <c r="C211" t="str">
        <f>Hyperlink("https://www.diodes.com/part/view/D5V0F1U2LPQ","D5V0F1U2LPQ")</f>
        <v>D5V0F1U2LPQ</v>
      </c>
      <c r="D211" t="s">
        <v>40</v>
      </c>
      <c r="E211" t="s">
        <v>32</v>
      </c>
      <c r="F211" t="s">
        <v>33</v>
      </c>
      <c r="G211">
        <v>1</v>
      </c>
      <c r="H211" t="s">
        <v>20</v>
      </c>
      <c r="I211">
        <v>0.5</v>
      </c>
      <c r="J211">
        <v>5.5</v>
      </c>
      <c r="K211">
        <v>6</v>
      </c>
      <c r="M211">
        <v>1.5</v>
      </c>
      <c r="N211">
        <v>12</v>
      </c>
      <c r="O211" t="s">
        <v>154</v>
      </c>
      <c r="P211" t="s">
        <v>22</v>
      </c>
    </row>
    <row r="212" spans="1:16">
      <c r="A212" t="s">
        <v>360</v>
      </c>
      <c r="B212" s="2" t="str">
        <f>Hyperlink("https://www.diodes.com/datasheet/download/D5V0F1U2S9.pdf")</f>
        <v>https://www.diodes.com/datasheet/download/D5V0F1U2S9.pdf</v>
      </c>
      <c r="C212" t="str">
        <f>Hyperlink("https://www.diodes.com/part/view/D5V0F1U2S9","D5V0F1U2S9")</f>
        <v>D5V0F1U2S9</v>
      </c>
      <c r="E212" t="s">
        <v>18</v>
      </c>
      <c r="F212" t="s">
        <v>19</v>
      </c>
      <c r="G212">
        <v>1</v>
      </c>
      <c r="H212" t="s">
        <v>20</v>
      </c>
      <c r="I212">
        <v>0.5</v>
      </c>
      <c r="J212">
        <v>5.5</v>
      </c>
      <c r="K212">
        <v>6</v>
      </c>
      <c r="M212">
        <v>1.5</v>
      </c>
      <c r="O212" t="s">
        <v>154</v>
      </c>
      <c r="P212" t="s">
        <v>102</v>
      </c>
    </row>
    <row r="213" spans="1:16">
      <c r="A213" t="s">
        <v>361</v>
      </c>
      <c r="B213" s="2" t="str">
        <f>Hyperlink("https://www.diodes.com/datasheet/download/D5V0F1U2S9Q.pdf")</f>
        <v>https://www.diodes.com/datasheet/download/D5V0F1U2S9Q.pdf</v>
      </c>
      <c r="C213" t="str">
        <f>Hyperlink("https://www.diodes.com/part/view/D5V0F1U2S9Q","D5V0F1U2S9Q")</f>
        <v>D5V0F1U2S9Q</v>
      </c>
      <c r="D213" t="s">
        <v>362</v>
      </c>
      <c r="E213" t="s">
        <v>32</v>
      </c>
      <c r="F213" t="s">
        <v>33</v>
      </c>
      <c r="G213">
        <v>1</v>
      </c>
      <c r="H213" t="s">
        <v>20</v>
      </c>
      <c r="I213">
        <v>0.5</v>
      </c>
      <c r="J213">
        <v>5.5</v>
      </c>
      <c r="K213">
        <v>6</v>
      </c>
      <c r="M213">
        <v>1.5</v>
      </c>
      <c r="O213" t="s">
        <v>154</v>
      </c>
      <c r="P213" t="s">
        <v>102</v>
      </c>
    </row>
    <row r="214" spans="1:16">
      <c r="A214" t="s">
        <v>363</v>
      </c>
      <c r="B214" s="2" t="str">
        <f>Hyperlink("https://www.diodes.com/datasheet/download/D5V0F2U3LP.pdf")</f>
        <v>https://www.diodes.com/datasheet/download/D5V0F2U3LP.pdf</v>
      </c>
      <c r="C214" t="str">
        <f>Hyperlink("https://www.diodes.com/part/view/D5V0F2U3LP","D5V0F2U3LP")</f>
        <v>D5V0F2U3LP</v>
      </c>
      <c r="E214" t="s">
        <v>18</v>
      </c>
      <c r="F214" t="s">
        <v>19</v>
      </c>
      <c r="G214">
        <v>2</v>
      </c>
      <c r="H214" t="s">
        <v>56</v>
      </c>
      <c r="I214">
        <v>0.5</v>
      </c>
      <c r="J214">
        <v>5.5</v>
      </c>
      <c r="K214">
        <v>6</v>
      </c>
      <c r="M214">
        <v>1.5</v>
      </c>
      <c r="O214" t="s">
        <v>154</v>
      </c>
      <c r="P214" t="s">
        <v>267</v>
      </c>
    </row>
    <row r="215" spans="1:16">
      <c r="A215" t="s">
        <v>364</v>
      </c>
      <c r="B215" s="2" t="str">
        <f>Hyperlink("https://www.diodes.com/datasheet/download/D5V0F2U3LP08.pdf")</f>
        <v>https://www.diodes.com/datasheet/download/D5V0F2U3LP08.pdf</v>
      </c>
      <c r="C215" t="str">
        <f>Hyperlink("https://www.diodes.com/part/view/D5V0F2U3LP08","D5V0F2U3LP08")</f>
        <v>D5V0F2U3LP08</v>
      </c>
      <c r="E215" t="s">
        <v>18</v>
      </c>
      <c r="F215" t="s">
        <v>19</v>
      </c>
      <c r="G215">
        <v>2</v>
      </c>
      <c r="H215" t="s">
        <v>56</v>
      </c>
      <c r="I215">
        <v>0.5</v>
      </c>
      <c r="J215">
        <v>5.5</v>
      </c>
      <c r="K215">
        <v>6</v>
      </c>
      <c r="M215">
        <v>1.5</v>
      </c>
      <c r="O215" t="s">
        <v>154</v>
      </c>
      <c r="P215" t="s">
        <v>365</v>
      </c>
    </row>
    <row r="216" spans="1:16">
      <c r="A216" t="s">
        <v>366</v>
      </c>
      <c r="B216" s="2" t="str">
        <f>Hyperlink("https://www.diodes.com/datasheet/download/D5V0F2U3LPQ.pdf")</f>
        <v>https://www.diodes.com/datasheet/download/D5V0F2U3LPQ.pdf</v>
      </c>
      <c r="C216" t="str">
        <f>Hyperlink("https://www.diodes.com/part/view/D5V0F2U3LPQ","D5V0F2U3LPQ")</f>
        <v>D5V0F2U3LPQ</v>
      </c>
      <c r="D216" t="s">
        <v>64</v>
      </c>
      <c r="E216" t="s">
        <v>32</v>
      </c>
      <c r="F216" t="s">
        <v>33</v>
      </c>
      <c r="G216">
        <v>2</v>
      </c>
      <c r="H216" t="s">
        <v>56</v>
      </c>
      <c r="I216">
        <v>0.5</v>
      </c>
      <c r="J216">
        <v>5.5</v>
      </c>
      <c r="K216">
        <v>6</v>
      </c>
      <c r="M216">
        <v>1.5</v>
      </c>
      <c r="N216">
        <v>12</v>
      </c>
      <c r="O216" t="s">
        <v>154</v>
      </c>
      <c r="P216" t="s">
        <v>267</v>
      </c>
    </row>
    <row r="217" spans="1:16">
      <c r="A217" t="s">
        <v>367</v>
      </c>
      <c r="B217" s="2" t="str">
        <f>Hyperlink("https://www.diodes.com/datasheet/download/D5V0F2U3WQ.pdf")</f>
        <v>https://www.diodes.com/datasheet/download/D5V0F2U3WQ.pdf</v>
      </c>
      <c r="C217" t="str">
        <f>Hyperlink("https://www.diodes.com/part/view/D5V0F2U3WQ","D5V0F2U3WQ")</f>
        <v>D5V0F2U3WQ</v>
      </c>
      <c r="D217" t="s">
        <v>64</v>
      </c>
      <c r="E217" t="s">
        <v>32</v>
      </c>
      <c r="F217" t="s">
        <v>33</v>
      </c>
      <c r="G217">
        <v>2</v>
      </c>
      <c r="H217" t="s">
        <v>56</v>
      </c>
      <c r="I217">
        <v>0.8</v>
      </c>
      <c r="J217">
        <v>5</v>
      </c>
      <c r="K217">
        <v>7</v>
      </c>
      <c r="M217">
        <v>3.3</v>
      </c>
      <c r="N217">
        <v>12</v>
      </c>
      <c r="O217" t="s">
        <v>54</v>
      </c>
      <c r="P217" t="s">
        <v>48</v>
      </c>
    </row>
    <row r="218" spans="1:16">
      <c r="A218" t="s">
        <v>368</v>
      </c>
      <c r="B218" s="2" t="str">
        <f>Hyperlink("https://www.diodes.com/datasheet/download/D5V0F2U6LP.pdf")</f>
        <v>https://www.diodes.com/datasheet/download/D5V0F2U6LP.pdf</v>
      </c>
      <c r="C218" t="str">
        <f>Hyperlink("https://www.diodes.com/part/view/D5V0F2U6LP","D5V0F2U6LP")</f>
        <v>D5V0F2U6LP</v>
      </c>
      <c r="E218" t="s">
        <v>18</v>
      </c>
      <c r="F218" t="s">
        <v>19</v>
      </c>
      <c r="G218">
        <v>2</v>
      </c>
      <c r="H218" t="s">
        <v>56</v>
      </c>
      <c r="I218">
        <v>0.5</v>
      </c>
      <c r="J218">
        <v>5.5</v>
      </c>
      <c r="K218">
        <v>6</v>
      </c>
      <c r="M218">
        <v>1.5</v>
      </c>
      <c r="O218" t="s">
        <v>154</v>
      </c>
      <c r="P218" t="s">
        <v>369</v>
      </c>
    </row>
    <row r="219" spans="1:16">
      <c r="A219" t="s">
        <v>370</v>
      </c>
      <c r="B219" s="2" t="str">
        <f>Hyperlink("https://www.diodes.com/datasheet/download/D5V0F3B6LP20.pdf")</f>
        <v>https://www.diodes.com/datasheet/download/D5V0F3B6LP20.pdf</v>
      </c>
      <c r="C219" t="str">
        <f>Hyperlink("https://www.diodes.com/part/view/D5V0F3B6LP20","D5V0F3B6LP20")</f>
        <v>D5V0F3B6LP20</v>
      </c>
      <c r="D219" t="s">
        <v>371</v>
      </c>
      <c r="E219" t="s">
        <v>18</v>
      </c>
      <c r="F219" t="s">
        <v>19</v>
      </c>
      <c r="G219">
        <v>3</v>
      </c>
      <c r="H219" t="s">
        <v>372</v>
      </c>
      <c r="I219">
        <v>630</v>
      </c>
      <c r="J219">
        <v>26</v>
      </c>
      <c r="K219">
        <v>28</v>
      </c>
      <c r="M219">
        <v>3.5</v>
      </c>
      <c r="O219" t="s">
        <v>37</v>
      </c>
      <c r="P219" t="s">
        <v>373</v>
      </c>
    </row>
    <row r="220" spans="1:16">
      <c r="A220" t="s">
        <v>374</v>
      </c>
      <c r="B220" s="2" t="str">
        <f>Hyperlink("https://www.diodes.com/datasheet/download/D5V0F4U10LP.pdf")</f>
        <v>https://www.diodes.com/datasheet/download/D5V0F4U10LP.pdf</v>
      </c>
      <c r="C220" t="str">
        <f>Hyperlink("https://www.diodes.com/part/view/D5V0F4U10LP","D5V0F4U10LP")</f>
        <v>D5V0F4U10LP</v>
      </c>
      <c r="E220" t="s">
        <v>18</v>
      </c>
      <c r="F220" t="s">
        <v>19</v>
      </c>
      <c r="G220">
        <v>4</v>
      </c>
      <c r="H220" t="s">
        <v>70</v>
      </c>
      <c r="I220">
        <v>0.5</v>
      </c>
      <c r="J220">
        <v>5.5</v>
      </c>
      <c r="K220">
        <v>6</v>
      </c>
      <c r="M220">
        <v>3</v>
      </c>
      <c r="O220" t="s">
        <v>37</v>
      </c>
      <c r="P220" t="s">
        <v>271</v>
      </c>
    </row>
    <row r="221" spans="1:16">
      <c r="A221" t="s">
        <v>375</v>
      </c>
      <c r="B221" s="2" t="str">
        <f>Hyperlink("https://www.diodes.com/datasheet/download/D5V0F4U10MR.pdf")</f>
        <v>https://www.diodes.com/datasheet/download/D5V0F4U10MR.pdf</v>
      </c>
      <c r="C221" t="str">
        <f>Hyperlink("https://www.diodes.com/part/view/D5V0F4U10MR","D5V0F4U10MR")</f>
        <v>D5V0F4U10MR</v>
      </c>
      <c r="E221" t="s">
        <v>18</v>
      </c>
      <c r="F221" t="s">
        <v>19</v>
      </c>
      <c r="G221">
        <v>4</v>
      </c>
      <c r="H221" t="s">
        <v>70</v>
      </c>
      <c r="I221">
        <v>0.5</v>
      </c>
      <c r="J221">
        <v>5.5</v>
      </c>
      <c r="K221">
        <v>6</v>
      </c>
      <c r="M221">
        <v>3</v>
      </c>
      <c r="O221" t="s">
        <v>37</v>
      </c>
      <c r="P221" t="s">
        <v>71</v>
      </c>
    </row>
    <row r="222" spans="1:16">
      <c r="A222" t="s">
        <v>376</v>
      </c>
      <c r="B222" s="2" t="str">
        <f>Hyperlink("https://www.diodes.com/datasheet/download/D5V0F4U5P5.pdf")</f>
        <v>https://www.diodes.com/datasheet/download/D5V0F4U5P5.pdf</v>
      </c>
      <c r="C222" t="str">
        <f>Hyperlink("https://www.diodes.com/part/view/D5V0F4U5P5","D5V0F4U5P5")</f>
        <v>D5V0F4U5P5</v>
      </c>
      <c r="E222" t="s">
        <v>18</v>
      </c>
      <c r="F222" t="s">
        <v>19</v>
      </c>
      <c r="G222">
        <v>4</v>
      </c>
      <c r="H222" t="s">
        <v>70</v>
      </c>
      <c r="I222">
        <v>0.5</v>
      </c>
      <c r="J222">
        <v>5.5</v>
      </c>
      <c r="K222">
        <v>6</v>
      </c>
      <c r="M222">
        <v>2</v>
      </c>
      <c r="N222">
        <v>12.5</v>
      </c>
      <c r="O222" t="s">
        <v>270</v>
      </c>
      <c r="P222" t="s">
        <v>377</v>
      </c>
    </row>
    <row r="223" spans="1:16">
      <c r="A223" t="s">
        <v>378</v>
      </c>
      <c r="B223" s="2" t="str">
        <f>Hyperlink("https://www.diodes.com/datasheet/download/D5V0F4U6S.pdf")</f>
        <v>https://www.diodes.com/datasheet/download/D5V0F4U6S.pdf</v>
      </c>
      <c r="C223" t="str">
        <f>Hyperlink("https://www.diodes.com/part/view/D5V0F4U6S","D5V0F4U6S")</f>
        <v>D5V0F4U6S</v>
      </c>
      <c r="E223" t="s">
        <v>18</v>
      </c>
      <c r="F223" t="s">
        <v>19</v>
      </c>
      <c r="G223">
        <v>4</v>
      </c>
      <c r="H223" t="s">
        <v>70</v>
      </c>
      <c r="I223">
        <v>0.5</v>
      </c>
      <c r="J223">
        <v>5.5</v>
      </c>
      <c r="K223">
        <v>6</v>
      </c>
      <c r="M223">
        <v>3</v>
      </c>
      <c r="O223" t="s">
        <v>37</v>
      </c>
      <c r="P223" t="s">
        <v>74</v>
      </c>
    </row>
    <row r="224" spans="1:16">
      <c r="A224" t="s">
        <v>379</v>
      </c>
      <c r="B224" s="2" t="str">
        <f>Hyperlink("https://www.diodes.com/datasheet/download/D5V0F4U6SO.pdf")</f>
        <v>https://www.diodes.com/datasheet/download/D5V0F4U6SO.pdf</v>
      </c>
      <c r="C224" t="str">
        <f>Hyperlink("https://www.diodes.com/part/view/D5V0F4U6SO","D5V0F4U6SO")</f>
        <v>D5V0F4U6SO</v>
      </c>
      <c r="E224" t="s">
        <v>18</v>
      </c>
      <c r="F224" t="s">
        <v>19</v>
      </c>
      <c r="G224">
        <v>4</v>
      </c>
      <c r="H224" t="s">
        <v>70</v>
      </c>
      <c r="I224">
        <v>0.5</v>
      </c>
      <c r="J224">
        <v>5.5</v>
      </c>
      <c r="K224">
        <v>6</v>
      </c>
      <c r="M224">
        <v>3</v>
      </c>
      <c r="O224" t="s">
        <v>37</v>
      </c>
      <c r="P224" t="s">
        <v>61</v>
      </c>
    </row>
    <row r="225" spans="1:16">
      <c r="A225" t="s">
        <v>380</v>
      </c>
      <c r="B225" s="2" t="str">
        <f>Hyperlink("https://www.diodes.com/datasheet/download/D5V0F4U6V.pdf")</f>
        <v>https://www.diodes.com/datasheet/download/D5V0F4U6V.pdf</v>
      </c>
      <c r="C225" t="str">
        <f>Hyperlink("https://www.diodes.com/part/view/D5V0F4U6V","D5V0F4U6V")</f>
        <v>D5V0F4U6V</v>
      </c>
      <c r="E225" t="s">
        <v>18</v>
      </c>
      <c r="F225" t="s">
        <v>19</v>
      </c>
      <c r="G225">
        <v>4</v>
      </c>
      <c r="H225" t="s">
        <v>70</v>
      </c>
      <c r="I225">
        <v>0.5</v>
      </c>
      <c r="J225">
        <v>5.5</v>
      </c>
      <c r="K225">
        <v>6</v>
      </c>
      <c r="M225">
        <v>3</v>
      </c>
      <c r="O225" t="s">
        <v>37</v>
      </c>
      <c r="P225" t="s">
        <v>81</v>
      </c>
    </row>
    <row r="226" spans="1:16">
      <c r="A226" t="s">
        <v>381</v>
      </c>
      <c r="B226" s="2" t="str">
        <f>Hyperlink("https://www.diodes.com/datasheet/download/D5V0F6U8LP33.pdf")</f>
        <v>https://www.diodes.com/datasheet/download/D5V0F6U8LP33.pdf</v>
      </c>
      <c r="C226" t="str">
        <f>Hyperlink("https://www.diodes.com/part/view/D5V0F6U8LP33","D5V0F6U8LP33")</f>
        <v>D5V0F6U8LP33</v>
      </c>
      <c r="E226" t="s">
        <v>18</v>
      </c>
      <c r="F226" t="s">
        <v>19</v>
      </c>
      <c r="G226">
        <v>6</v>
      </c>
      <c r="H226" t="s">
        <v>382</v>
      </c>
      <c r="I226">
        <v>0.5</v>
      </c>
      <c r="J226">
        <v>5.5</v>
      </c>
      <c r="K226">
        <v>6</v>
      </c>
      <c r="M226">
        <v>2</v>
      </c>
      <c r="N226">
        <v>12.5</v>
      </c>
      <c r="O226" t="s">
        <v>270</v>
      </c>
      <c r="P226" t="s">
        <v>383</v>
      </c>
    </row>
    <row r="227" spans="1:16">
      <c r="A227" t="s">
        <v>384</v>
      </c>
      <c r="B227" s="2" t="str">
        <f>Hyperlink("https://www.diodes.com/datasheet/download/D5V0FA1B2WS.pdf")</f>
        <v>https://www.diodes.com/datasheet/download/D5V0FA1B2WS.pdf</v>
      </c>
      <c r="C227" t="str">
        <f>Hyperlink("https://www.diodes.com/part/view/D5V0FA1B2WS","D5V0FA1B2WS")</f>
        <v>D5V0FA1B2WS</v>
      </c>
      <c r="D227" t="s">
        <v>354</v>
      </c>
      <c r="E227" t="s">
        <v>18</v>
      </c>
      <c r="F227" t="s">
        <v>19</v>
      </c>
      <c r="G227">
        <v>1</v>
      </c>
      <c r="H227" t="s">
        <v>28</v>
      </c>
      <c r="I227">
        <v>2.7</v>
      </c>
      <c r="J227">
        <v>5</v>
      </c>
      <c r="K227">
        <v>6.8</v>
      </c>
      <c r="M227">
        <v>25</v>
      </c>
      <c r="N227">
        <v>20</v>
      </c>
      <c r="O227" t="s">
        <v>21</v>
      </c>
      <c r="P227" t="s">
        <v>51</v>
      </c>
    </row>
    <row r="228" spans="1:16">
      <c r="A228" t="s">
        <v>385</v>
      </c>
      <c r="B228" s="2" t="str">
        <f>Hyperlink("https://www.diodes.com/datasheet/download/D5V0FS4U10LP.pdf")</f>
        <v>https://www.diodes.com/datasheet/download/D5V0FS4U10LP.pdf</v>
      </c>
      <c r="C228" t="str">
        <f>Hyperlink("https://www.diodes.com/part/view/D5V0FS4U10LP","D5V0FS4U10LP")</f>
        <v>D5V0FS4U10LP</v>
      </c>
      <c r="D228" t="s">
        <v>73</v>
      </c>
      <c r="E228" t="s">
        <v>18</v>
      </c>
      <c r="F228" t="s">
        <v>19</v>
      </c>
      <c r="G228">
        <v>4</v>
      </c>
      <c r="H228" t="s">
        <v>70</v>
      </c>
      <c r="I228">
        <v>0.45</v>
      </c>
      <c r="J228">
        <v>5</v>
      </c>
      <c r="K228">
        <v>5.5</v>
      </c>
      <c r="M228">
        <v>3.5</v>
      </c>
      <c r="O228" t="s">
        <v>37</v>
      </c>
      <c r="P228" t="s">
        <v>271</v>
      </c>
    </row>
    <row r="229" spans="1:16">
      <c r="A229" t="s">
        <v>386</v>
      </c>
      <c r="B229" s="2" t="str">
        <f>Hyperlink("https://www.diodes.com/datasheet/download/D5V0H1B2LP.pdf")</f>
        <v>https://www.diodes.com/datasheet/download/D5V0H1B2LP.pdf</v>
      </c>
      <c r="C229" t="str">
        <f>Hyperlink("https://www.diodes.com/part/view/D5V0H1B2LP","D5V0H1B2LP")</f>
        <v>D5V0H1B2LP</v>
      </c>
      <c r="D229" t="s">
        <v>387</v>
      </c>
      <c r="E229" t="s">
        <v>18</v>
      </c>
      <c r="F229" t="s">
        <v>19</v>
      </c>
      <c r="G229">
        <v>1</v>
      </c>
      <c r="H229" t="s">
        <v>28</v>
      </c>
      <c r="I229">
        <v>85</v>
      </c>
      <c r="J229">
        <v>5.5</v>
      </c>
      <c r="K229">
        <v>6</v>
      </c>
      <c r="M229">
        <v>30</v>
      </c>
      <c r="N229">
        <v>12.5</v>
      </c>
      <c r="O229" t="s">
        <v>21</v>
      </c>
      <c r="P229" t="s">
        <v>22</v>
      </c>
    </row>
    <row r="230" spans="1:16">
      <c r="A230" t="s">
        <v>388</v>
      </c>
      <c r="B230" s="2" t="str">
        <f>Hyperlink("https://www.diodes.com/datasheet/download/D5V0H1B2LPQ.pdf")</f>
        <v>https://www.diodes.com/datasheet/download/D5V0H1B2LPQ.pdf</v>
      </c>
      <c r="C230" t="str">
        <f>Hyperlink("https://www.diodes.com/part/view/D5V0H1B2LPQ","D5V0H1B2LPQ")</f>
        <v>D5V0H1B2LPQ</v>
      </c>
      <c r="D230" t="s">
        <v>281</v>
      </c>
      <c r="E230" t="s">
        <v>32</v>
      </c>
      <c r="F230" t="s">
        <v>33</v>
      </c>
      <c r="G230">
        <v>1</v>
      </c>
      <c r="H230" t="s">
        <v>28</v>
      </c>
      <c r="I230">
        <v>85</v>
      </c>
      <c r="J230">
        <v>5.5</v>
      </c>
      <c r="K230">
        <v>6</v>
      </c>
      <c r="M230">
        <v>25</v>
      </c>
      <c r="N230">
        <v>15</v>
      </c>
      <c r="O230" t="s">
        <v>21</v>
      </c>
      <c r="P230" t="s">
        <v>22</v>
      </c>
    </row>
    <row r="231" spans="1:16">
      <c r="A231" t="s">
        <v>389</v>
      </c>
      <c r="B231" s="2" t="str">
        <f>Hyperlink("https://www.diodes.com/datasheet/download/D5V0H1U2LP.pdf")</f>
        <v>https://www.diodes.com/datasheet/download/D5V0H1U2LP.pdf</v>
      </c>
      <c r="C231" t="str">
        <f>Hyperlink("https://www.diodes.com/part/view/D5V0H1U2LP","D5V0H1U2LP")</f>
        <v>D5V0H1U2LP</v>
      </c>
      <c r="D231" t="s">
        <v>17</v>
      </c>
      <c r="E231" t="s">
        <v>18</v>
      </c>
      <c r="F231" t="s">
        <v>19</v>
      </c>
      <c r="G231">
        <v>1</v>
      </c>
      <c r="H231" t="s">
        <v>20</v>
      </c>
      <c r="I231">
        <v>190</v>
      </c>
      <c r="J231">
        <v>5.5</v>
      </c>
      <c r="K231">
        <v>6.2</v>
      </c>
      <c r="M231">
        <v>30</v>
      </c>
      <c r="N231">
        <v>14</v>
      </c>
      <c r="O231" t="s">
        <v>21</v>
      </c>
      <c r="P231" t="s">
        <v>22</v>
      </c>
    </row>
    <row r="232" spans="1:16">
      <c r="A232" t="s">
        <v>390</v>
      </c>
      <c r="B232" s="2" t="str">
        <f>Hyperlink("https://www.diodes.com/datasheet/download/D5V0H1U2LP1610.pdf")</f>
        <v>https://www.diodes.com/datasheet/download/D5V0H1U2LP1610.pdf</v>
      </c>
      <c r="C232" t="str">
        <f>Hyperlink("https://www.diodes.com/part/view/D5V0H1U2LP1610","D5V0H1U2LP1610")</f>
        <v>D5V0H1U2LP1610</v>
      </c>
      <c r="D232" t="s">
        <v>129</v>
      </c>
      <c r="E232" t="s">
        <v>18</v>
      </c>
      <c r="F232" t="s">
        <v>19</v>
      </c>
      <c r="G232">
        <v>1</v>
      </c>
      <c r="H232" t="s">
        <v>20</v>
      </c>
      <c r="I232">
        <v>800</v>
      </c>
      <c r="J232">
        <v>5</v>
      </c>
      <c r="K232">
        <v>5.5</v>
      </c>
      <c r="M232">
        <v>90</v>
      </c>
      <c r="N232">
        <v>11.5</v>
      </c>
      <c r="O232" t="s">
        <v>21</v>
      </c>
      <c r="P232" t="s">
        <v>87</v>
      </c>
    </row>
    <row r="233" spans="1:16">
      <c r="A233" t="s">
        <v>391</v>
      </c>
      <c r="B233" s="2" t="str">
        <f>Hyperlink("https://www.diodes.com/datasheet/download/D5V0H1U2LP1610Q.pdf")</f>
        <v>https://www.diodes.com/datasheet/download/D5V0H1U2LP1610Q.pdf</v>
      </c>
      <c r="C233" t="str">
        <f>Hyperlink("https://www.diodes.com/part/view/D5V0H1U2LP1610Q","D5V0H1U2LP1610Q")</f>
        <v>D5V0H1U2LP1610Q</v>
      </c>
      <c r="D233" t="s">
        <v>24</v>
      </c>
      <c r="E233" t="s">
        <v>32</v>
      </c>
      <c r="F233" t="s">
        <v>33</v>
      </c>
      <c r="G233">
        <v>1</v>
      </c>
      <c r="H233" t="s">
        <v>20</v>
      </c>
      <c r="I233">
        <v>800</v>
      </c>
      <c r="J233">
        <v>5</v>
      </c>
      <c r="K233">
        <v>5.5</v>
      </c>
      <c r="M233">
        <v>90</v>
      </c>
      <c r="N233">
        <v>13</v>
      </c>
      <c r="O233" t="s">
        <v>21</v>
      </c>
      <c r="P233" t="s">
        <v>87</v>
      </c>
    </row>
    <row r="234" spans="1:16">
      <c r="A234" t="s">
        <v>392</v>
      </c>
      <c r="B234" s="2" t="str">
        <f>Hyperlink("https://www.diodes.com/datasheet/download/D5V0H1U2LPQ.pdf")</f>
        <v>https://www.diodes.com/datasheet/download/D5V0H1U2LPQ.pdf</v>
      </c>
      <c r="C234" t="str">
        <f>Hyperlink("https://www.diodes.com/part/view/D5V0H1U2LPQ","D5V0H1U2LPQ")</f>
        <v>D5V0H1U2LPQ</v>
      </c>
      <c r="D234" t="s">
        <v>17</v>
      </c>
      <c r="E234" t="s">
        <v>32</v>
      </c>
      <c r="F234" t="s">
        <v>33</v>
      </c>
      <c r="G234">
        <v>1</v>
      </c>
      <c r="H234" t="s">
        <v>20</v>
      </c>
      <c r="I234">
        <v>190</v>
      </c>
      <c r="J234">
        <v>5.5</v>
      </c>
      <c r="K234">
        <v>6.2</v>
      </c>
      <c r="L234">
        <v>0.1</v>
      </c>
      <c r="M234">
        <v>25</v>
      </c>
      <c r="N234">
        <v>14</v>
      </c>
      <c r="O234" t="s">
        <v>21</v>
      </c>
      <c r="P234" t="s">
        <v>22</v>
      </c>
    </row>
    <row r="235" spans="1:16">
      <c r="A235" t="s">
        <v>393</v>
      </c>
      <c r="B235" s="2" t="str">
        <f>Hyperlink("https://www.diodes.com/datasheet/download/D5V0H2U3SO.pdf")</f>
        <v>https://www.diodes.com/datasheet/download/D5V0H2U3SO.pdf</v>
      </c>
      <c r="C235" t="str">
        <f>Hyperlink("https://www.diodes.com/part/view/D5V0H2U3SO","D5V0H2U3SO")</f>
        <v>D5V0H2U3SO</v>
      </c>
      <c r="D235" t="s">
        <v>91</v>
      </c>
      <c r="E235" t="s">
        <v>18</v>
      </c>
      <c r="F235" t="s">
        <v>19</v>
      </c>
      <c r="G235">
        <v>2</v>
      </c>
      <c r="H235" t="s">
        <v>56</v>
      </c>
      <c r="I235">
        <v>156</v>
      </c>
      <c r="J235">
        <v>5</v>
      </c>
      <c r="K235">
        <v>6.4</v>
      </c>
      <c r="M235">
        <v>15</v>
      </c>
      <c r="N235">
        <v>20</v>
      </c>
      <c r="O235" t="s">
        <v>21</v>
      </c>
      <c r="P235" t="s">
        <v>43</v>
      </c>
    </row>
    <row r="236" spans="1:16">
      <c r="A236" t="s">
        <v>394</v>
      </c>
      <c r="B236" s="2" t="str">
        <f>Hyperlink("https://www.diodes.com/datasheet/download/D5V0HA2U3SO.pdf")</f>
        <v>https://www.diodes.com/datasheet/download/D5V0HA2U3SO.pdf</v>
      </c>
      <c r="C236" t="str">
        <f>Hyperlink("https://www.diodes.com/part/view/D5V0HA2U3SO","D5V0HA2U3SO")</f>
        <v>D5V0HA2U3SO</v>
      </c>
      <c r="D236" t="s">
        <v>91</v>
      </c>
      <c r="E236" t="s">
        <v>18</v>
      </c>
      <c r="F236" t="s">
        <v>19</v>
      </c>
      <c r="G236">
        <v>2</v>
      </c>
      <c r="H236" t="s">
        <v>56</v>
      </c>
      <c r="I236">
        <v>156</v>
      </c>
      <c r="J236">
        <v>5</v>
      </c>
      <c r="K236">
        <v>6.4</v>
      </c>
      <c r="M236">
        <v>15</v>
      </c>
      <c r="N236">
        <v>20</v>
      </c>
      <c r="O236" t="s">
        <v>21</v>
      </c>
      <c r="P236" t="s">
        <v>43</v>
      </c>
    </row>
    <row r="237" spans="1:16">
      <c r="A237" t="s">
        <v>395</v>
      </c>
      <c r="B237" s="2" t="str">
        <f>Hyperlink("https://www.diodes.com/datasheet/download/D5V0L1B2LP.pdf")</f>
        <v>https://www.diodes.com/datasheet/download/D5V0L1B2LP.pdf</v>
      </c>
      <c r="C237" t="str">
        <f>Hyperlink("https://www.diodes.com/part/view/D5V0L1B2LP","D5V0L1B2LP")</f>
        <v>D5V0L1B2LP</v>
      </c>
      <c r="E237" t="s">
        <v>18</v>
      </c>
      <c r="F237" t="s">
        <v>19</v>
      </c>
      <c r="G237">
        <v>1</v>
      </c>
      <c r="H237" t="s">
        <v>28</v>
      </c>
      <c r="I237">
        <v>15</v>
      </c>
      <c r="J237">
        <v>5</v>
      </c>
      <c r="K237">
        <v>6</v>
      </c>
      <c r="L237">
        <v>0.01</v>
      </c>
      <c r="M237">
        <v>6</v>
      </c>
      <c r="N237">
        <v>14</v>
      </c>
      <c r="O237" t="s">
        <v>21</v>
      </c>
      <c r="P237" t="s">
        <v>22</v>
      </c>
    </row>
    <row r="238" spans="1:16">
      <c r="A238" t="s">
        <v>396</v>
      </c>
      <c r="B238" s="2" t="str">
        <f>Hyperlink("https://www.diodes.com/datasheet/download/D5V0L1B2LP3.pdf")</f>
        <v>https://www.diodes.com/datasheet/download/D5V0L1B2LP3.pdf</v>
      </c>
      <c r="C238" t="str">
        <f>Hyperlink("https://www.diodes.com/part/view/D5V0L1B2LP3","D5V0L1B2LP3")</f>
        <v>D5V0L1B2LP3</v>
      </c>
      <c r="E238" t="s">
        <v>18</v>
      </c>
      <c r="F238" t="s">
        <v>19</v>
      </c>
      <c r="G238">
        <v>1</v>
      </c>
      <c r="H238" t="s">
        <v>28</v>
      </c>
      <c r="I238">
        <v>15</v>
      </c>
      <c r="J238">
        <v>5</v>
      </c>
      <c r="K238">
        <v>6</v>
      </c>
      <c r="L238">
        <v>0.01</v>
      </c>
      <c r="M238">
        <v>6</v>
      </c>
      <c r="N238">
        <v>14</v>
      </c>
      <c r="O238" t="s">
        <v>21</v>
      </c>
      <c r="P238" t="s">
        <v>100</v>
      </c>
    </row>
    <row r="239" spans="1:16">
      <c r="A239" t="s">
        <v>397</v>
      </c>
      <c r="B239" s="2" t="str">
        <f>Hyperlink("https://www.diodes.com/datasheet/download/D5V0L1B2LP3Q.pdf")</f>
        <v>https://www.diodes.com/datasheet/download/D5V0L1B2LP3Q.pdf</v>
      </c>
      <c r="C239" t="str">
        <f>Hyperlink("https://www.diodes.com/part/view/D5V0L1B2LP3Q","D5V0L1B2LP3Q")</f>
        <v>D5V0L1B2LP3Q</v>
      </c>
      <c r="D239" t="s">
        <v>116</v>
      </c>
      <c r="E239" t="s">
        <v>32</v>
      </c>
      <c r="F239" t="s">
        <v>33</v>
      </c>
      <c r="G239">
        <v>1</v>
      </c>
      <c r="H239" t="s">
        <v>28</v>
      </c>
      <c r="I239">
        <v>15</v>
      </c>
      <c r="J239">
        <v>5</v>
      </c>
      <c r="K239">
        <v>6</v>
      </c>
      <c r="L239">
        <v>0.1</v>
      </c>
      <c r="M239">
        <v>6</v>
      </c>
      <c r="N239">
        <v>14</v>
      </c>
      <c r="O239" t="s">
        <v>21</v>
      </c>
      <c r="P239" t="s">
        <v>100</v>
      </c>
    </row>
    <row r="240" spans="1:16">
      <c r="A240" t="s">
        <v>398</v>
      </c>
      <c r="B240" s="2" t="str">
        <f>Hyperlink("https://www.diodes.com/datasheet/download/D5V0L1B2LP4.pdf")</f>
        <v>https://www.diodes.com/datasheet/download/D5V0L1B2LP4.pdf</v>
      </c>
      <c r="C240" t="str">
        <f>Hyperlink("https://www.diodes.com/part/view/D5V0L1B2LP4","D5V0L1B2LP4")</f>
        <v>D5V0L1B2LP4</v>
      </c>
      <c r="E240" t="s">
        <v>18</v>
      </c>
      <c r="F240" t="s">
        <v>19</v>
      </c>
      <c r="G240">
        <v>1</v>
      </c>
      <c r="H240" t="s">
        <v>28</v>
      </c>
      <c r="I240">
        <v>15</v>
      </c>
      <c r="J240">
        <v>5</v>
      </c>
      <c r="K240">
        <v>6</v>
      </c>
      <c r="L240">
        <v>0.01</v>
      </c>
      <c r="M240">
        <v>6</v>
      </c>
      <c r="N240">
        <v>14</v>
      </c>
      <c r="O240" t="s">
        <v>21</v>
      </c>
      <c r="P240" t="s">
        <v>34</v>
      </c>
    </row>
    <row r="241" spans="1:16">
      <c r="A241" t="s">
        <v>399</v>
      </c>
      <c r="B241" s="2" t="str">
        <f>Hyperlink("https://www.diodes.com/datasheet/download/D5V0L1B2LPS.pdf")</f>
        <v>https://www.diodes.com/datasheet/download/D5V0L1B2LPS.pdf</v>
      </c>
      <c r="C241" t="str">
        <f>Hyperlink("https://www.diodes.com/part/view/D5V0L1B2LPS","D5V0L1B2LPS")</f>
        <v>D5V0L1B2LPS</v>
      </c>
      <c r="E241" t="s">
        <v>18</v>
      </c>
      <c r="F241" t="s">
        <v>19</v>
      </c>
      <c r="G241">
        <v>1</v>
      </c>
      <c r="H241" t="s">
        <v>28</v>
      </c>
      <c r="I241">
        <v>15</v>
      </c>
      <c r="J241">
        <v>5</v>
      </c>
      <c r="K241">
        <v>6</v>
      </c>
      <c r="L241">
        <v>0.01</v>
      </c>
      <c r="M241">
        <v>6</v>
      </c>
      <c r="N241">
        <v>14</v>
      </c>
      <c r="O241" t="s">
        <v>21</v>
      </c>
      <c r="P241" t="s">
        <v>206</v>
      </c>
    </row>
    <row r="242" spans="1:16">
      <c r="A242" t="s">
        <v>400</v>
      </c>
      <c r="B242" s="2" t="str">
        <f>Hyperlink("https://www.diodes.com/datasheet/download/D5V0L1B2LPS.pdf")</f>
        <v>https://www.diodes.com/datasheet/download/D5V0L1B2LPS.pdf</v>
      </c>
      <c r="C242" t="str">
        <f>Hyperlink("https://www.diodes.com/part/view/D5V0L1B2LPSQ","D5V0L1B2LPSQ")</f>
        <v>D5V0L1B2LPSQ</v>
      </c>
      <c r="D242" t="s">
        <v>387</v>
      </c>
      <c r="E242" t="s">
        <v>32</v>
      </c>
      <c r="F242" t="s">
        <v>33</v>
      </c>
      <c r="G242">
        <v>1</v>
      </c>
      <c r="H242" t="s">
        <v>28</v>
      </c>
      <c r="I242">
        <v>15</v>
      </c>
      <c r="J242">
        <v>5</v>
      </c>
      <c r="K242">
        <v>6</v>
      </c>
      <c r="L242">
        <v>0.01</v>
      </c>
      <c r="M242">
        <v>6</v>
      </c>
      <c r="N242">
        <v>14</v>
      </c>
      <c r="O242" t="s">
        <v>21</v>
      </c>
      <c r="P242" t="s">
        <v>206</v>
      </c>
    </row>
    <row r="243" spans="1:16">
      <c r="A243" t="s">
        <v>401</v>
      </c>
      <c r="B243" s="2" t="str">
        <f>Hyperlink("https://www.diodes.com/datasheet/download/D5V0L1B2S9.pdf")</f>
        <v>https://www.diodes.com/datasheet/download/D5V0L1B2S9.pdf</v>
      </c>
      <c r="C243" t="str">
        <f>Hyperlink("https://www.diodes.com/part/view/D5V0L1B2S9","D5V0L1B2S9")</f>
        <v>D5V0L1B2S9</v>
      </c>
      <c r="E243" t="s">
        <v>18</v>
      </c>
      <c r="F243" t="s">
        <v>19</v>
      </c>
      <c r="G243">
        <v>1</v>
      </c>
      <c r="H243" t="s">
        <v>28</v>
      </c>
      <c r="I243">
        <v>15</v>
      </c>
      <c r="J243">
        <v>5</v>
      </c>
      <c r="K243">
        <v>6</v>
      </c>
      <c r="L243">
        <v>0.01</v>
      </c>
      <c r="M243">
        <v>6</v>
      </c>
      <c r="N243">
        <v>14</v>
      </c>
      <c r="O243" t="s">
        <v>21</v>
      </c>
      <c r="P243" t="s">
        <v>102</v>
      </c>
    </row>
    <row r="244" spans="1:16">
      <c r="A244" t="s">
        <v>402</v>
      </c>
      <c r="B244" s="2" t="str">
        <f>Hyperlink("https://www.diodes.com/datasheet/download/D5V0L1B2T.pdf")</f>
        <v>https://www.diodes.com/datasheet/download/D5V0L1B2T.pdf</v>
      </c>
      <c r="C244" t="str">
        <f>Hyperlink("https://www.diodes.com/part/view/D5V0L1B2T","D5V0L1B2T")</f>
        <v>D5V0L1B2T</v>
      </c>
      <c r="E244" t="s">
        <v>18</v>
      </c>
      <c r="F244" t="s">
        <v>19</v>
      </c>
      <c r="G244">
        <v>1</v>
      </c>
      <c r="H244" t="s">
        <v>28</v>
      </c>
      <c r="I244">
        <v>15</v>
      </c>
      <c r="J244">
        <v>5</v>
      </c>
      <c r="K244">
        <v>6</v>
      </c>
      <c r="L244">
        <v>0.01</v>
      </c>
      <c r="M244">
        <v>6</v>
      </c>
      <c r="N244">
        <v>14</v>
      </c>
      <c r="O244" t="s">
        <v>21</v>
      </c>
      <c r="P244" t="s">
        <v>45</v>
      </c>
    </row>
    <row r="245" spans="1:16">
      <c r="A245" t="s">
        <v>403</v>
      </c>
      <c r="B245" s="2" t="str">
        <f>Hyperlink("https://www.diodes.com/datasheet/download/D5V0L1B2TQ.pdf")</f>
        <v>https://www.diodes.com/datasheet/download/D5V0L1B2TQ.pdf</v>
      </c>
      <c r="C245" t="str">
        <f>Hyperlink("https://www.diodes.com/part/view/D5V0L1B2TQ","D5V0L1B2TQ")</f>
        <v>D5V0L1B2TQ</v>
      </c>
      <c r="D245" t="s">
        <v>116</v>
      </c>
      <c r="E245" t="s">
        <v>32</v>
      </c>
      <c r="F245" t="s">
        <v>33</v>
      </c>
      <c r="G245">
        <v>1</v>
      </c>
      <c r="H245" t="s">
        <v>28</v>
      </c>
      <c r="I245">
        <v>15</v>
      </c>
      <c r="J245">
        <v>5</v>
      </c>
      <c r="K245">
        <v>6</v>
      </c>
      <c r="L245">
        <v>0.01</v>
      </c>
      <c r="M245">
        <v>6</v>
      </c>
      <c r="N245">
        <v>14</v>
      </c>
      <c r="O245" t="s">
        <v>21</v>
      </c>
      <c r="P245" t="s">
        <v>45</v>
      </c>
    </row>
    <row r="246" spans="1:16">
      <c r="A246" t="s">
        <v>404</v>
      </c>
      <c r="B246" s="2" t="str">
        <f>Hyperlink("https://www.diodes.com/datasheet/download/D5V0L1B2WS.pdf")</f>
        <v>https://www.diodes.com/datasheet/download/D5V0L1B2WS.pdf</v>
      </c>
      <c r="C246" t="str">
        <f>Hyperlink("https://www.diodes.com/part/view/D5V0L1B2WS","D5V0L1B2WS")</f>
        <v>D5V0L1B2WS</v>
      </c>
      <c r="E246" t="s">
        <v>18</v>
      </c>
      <c r="F246" t="s">
        <v>19</v>
      </c>
      <c r="G246">
        <v>1</v>
      </c>
      <c r="H246" t="s">
        <v>28</v>
      </c>
      <c r="I246">
        <v>15</v>
      </c>
      <c r="J246">
        <v>5</v>
      </c>
      <c r="K246">
        <v>6</v>
      </c>
      <c r="L246">
        <v>0.01</v>
      </c>
      <c r="M246">
        <v>6</v>
      </c>
      <c r="N246">
        <v>14</v>
      </c>
      <c r="O246" t="s">
        <v>21</v>
      </c>
      <c r="P246" t="s">
        <v>51</v>
      </c>
    </row>
    <row r="247" spans="1:16">
      <c r="A247" t="s">
        <v>405</v>
      </c>
      <c r="B247" s="2" t="str">
        <f>Hyperlink("https://www.diodes.com/datasheet/download/D5V0L2B3SO.pdf")</f>
        <v>https://www.diodes.com/datasheet/download/D5V0L2B3SO.pdf</v>
      </c>
      <c r="C247" t="str">
        <f>Hyperlink("https://www.diodes.com/part/view/D5V0L2B3SO","D5V0L2B3SO")</f>
        <v>D5V0L2B3SO</v>
      </c>
      <c r="E247" t="s">
        <v>18</v>
      </c>
      <c r="F247" t="s">
        <v>19</v>
      </c>
      <c r="G247">
        <v>2</v>
      </c>
      <c r="H247" t="s">
        <v>295</v>
      </c>
      <c r="I247">
        <v>15</v>
      </c>
      <c r="J247">
        <v>5</v>
      </c>
      <c r="K247">
        <v>6</v>
      </c>
      <c r="L247">
        <v>0.01</v>
      </c>
      <c r="M247">
        <v>6</v>
      </c>
      <c r="N247">
        <v>14</v>
      </c>
      <c r="O247" t="s">
        <v>21</v>
      </c>
      <c r="P247" t="s">
        <v>43</v>
      </c>
    </row>
    <row r="248" spans="1:16">
      <c r="A248" t="s">
        <v>406</v>
      </c>
      <c r="B248" s="2" t="str">
        <f>Hyperlink("https://www.diodes.com/datasheet/download/D5V0L2B3T.pdf")</f>
        <v>https://www.diodes.com/datasheet/download/D5V0L2B3T.pdf</v>
      </c>
      <c r="C248" t="str">
        <f>Hyperlink("https://www.diodes.com/part/view/D5V0L2B3T","D5V0L2B3T")</f>
        <v>D5V0L2B3T</v>
      </c>
      <c r="E248" t="s">
        <v>18</v>
      </c>
      <c r="F248" t="s">
        <v>19</v>
      </c>
      <c r="G248">
        <v>2</v>
      </c>
      <c r="H248" t="s">
        <v>295</v>
      </c>
      <c r="I248">
        <v>15</v>
      </c>
      <c r="J248">
        <v>5</v>
      </c>
      <c r="K248">
        <v>6</v>
      </c>
      <c r="L248">
        <v>0.01</v>
      </c>
      <c r="M248">
        <v>6</v>
      </c>
      <c r="N248">
        <v>14</v>
      </c>
      <c r="O248" t="s">
        <v>21</v>
      </c>
      <c r="P248" t="s">
        <v>407</v>
      </c>
    </row>
    <row r="249" spans="1:16">
      <c r="A249" t="s">
        <v>408</v>
      </c>
      <c r="B249" s="2" t="str">
        <f>Hyperlink("https://www.diodes.com/datasheet/download/D5V0L2B3W.pdf")</f>
        <v>https://www.diodes.com/datasheet/download/D5V0L2B3W.pdf</v>
      </c>
      <c r="C249" t="str">
        <f>Hyperlink("https://www.diodes.com/part/view/D5V0L2B3W","D5V0L2B3W")</f>
        <v>D5V0L2B3W</v>
      </c>
      <c r="E249" t="s">
        <v>18</v>
      </c>
      <c r="F249" t="s">
        <v>19</v>
      </c>
      <c r="G249">
        <v>2</v>
      </c>
      <c r="H249" t="s">
        <v>295</v>
      </c>
      <c r="I249">
        <v>15</v>
      </c>
      <c r="J249">
        <v>5</v>
      </c>
      <c r="K249">
        <v>6</v>
      </c>
      <c r="L249">
        <v>0.01</v>
      </c>
      <c r="M249">
        <v>6</v>
      </c>
      <c r="N249">
        <v>14</v>
      </c>
      <c r="O249" t="s">
        <v>21</v>
      </c>
      <c r="P249" t="s">
        <v>48</v>
      </c>
    </row>
    <row r="250" spans="1:16">
      <c r="A250" t="s">
        <v>409</v>
      </c>
      <c r="B250" s="2" t="str">
        <f>Hyperlink("https://www.diodes.com/datasheet/download/D5V0L4B5S.pdf")</f>
        <v>https://www.diodes.com/datasheet/download/D5V0L4B5S.pdf</v>
      </c>
      <c r="C250" t="str">
        <f>Hyperlink("https://www.diodes.com/part/view/D5V0L4B5S","D5V0L4B5S")</f>
        <v>D5V0L4B5S</v>
      </c>
      <c r="E250" t="s">
        <v>18</v>
      </c>
      <c r="F250" t="s">
        <v>19</v>
      </c>
      <c r="G250">
        <v>4</v>
      </c>
      <c r="H250" t="s">
        <v>304</v>
      </c>
      <c r="I250">
        <v>15</v>
      </c>
      <c r="J250">
        <v>5</v>
      </c>
      <c r="K250">
        <v>6</v>
      </c>
      <c r="L250">
        <v>0.01</v>
      </c>
      <c r="M250">
        <v>6</v>
      </c>
      <c r="N250">
        <v>14</v>
      </c>
      <c r="O250" t="s">
        <v>21</v>
      </c>
      <c r="P250" t="s">
        <v>57</v>
      </c>
    </row>
    <row r="251" spans="1:16">
      <c r="A251" t="s">
        <v>410</v>
      </c>
      <c r="B251" s="2" t="str">
        <f>Hyperlink("https://www.diodes.com/datasheet/download/D5V0L4B5SO.pdf")</f>
        <v>https://www.diodes.com/datasheet/download/D5V0L4B5SO.pdf</v>
      </c>
      <c r="C251" t="str">
        <f>Hyperlink("https://www.diodes.com/part/view/D5V0L4B5SO","D5V0L4B5SO")</f>
        <v>D5V0L4B5SO</v>
      </c>
      <c r="E251" t="s">
        <v>18</v>
      </c>
      <c r="F251" t="s">
        <v>19</v>
      </c>
      <c r="G251">
        <v>4</v>
      </c>
      <c r="H251" t="s">
        <v>304</v>
      </c>
      <c r="I251">
        <v>15</v>
      </c>
      <c r="J251">
        <v>5</v>
      </c>
      <c r="K251">
        <v>6</v>
      </c>
      <c r="L251">
        <v>0.01</v>
      </c>
      <c r="M251">
        <v>6</v>
      </c>
      <c r="N251">
        <v>14</v>
      </c>
      <c r="O251" t="s">
        <v>21</v>
      </c>
      <c r="P251" t="s">
        <v>59</v>
      </c>
    </row>
    <row r="252" spans="1:16">
      <c r="A252" t="s">
        <v>411</v>
      </c>
      <c r="B252" s="2" t="str">
        <f>Hyperlink("https://www.diodes.com/datasheet/download/D5V0L4B5SOQ.pdf")</f>
        <v>https://www.diodes.com/datasheet/download/D5V0L4B5SOQ.pdf</v>
      </c>
      <c r="C252" t="str">
        <f>Hyperlink("https://www.diodes.com/part/view/D5V0L4B5SOQ","D5V0L4B5SOQ")</f>
        <v>D5V0L4B5SOQ</v>
      </c>
      <c r="D252" t="s">
        <v>412</v>
      </c>
      <c r="E252" t="s">
        <v>32</v>
      </c>
      <c r="F252" t="s">
        <v>33</v>
      </c>
      <c r="G252">
        <v>4</v>
      </c>
      <c r="H252" t="s">
        <v>304</v>
      </c>
      <c r="I252">
        <v>15</v>
      </c>
      <c r="J252">
        <v>5</v>
      </c>
      <c r="K252">
        <v>6</v>
      </c>
      <c r="L252">
        <v>0.01</v>
      </c>
      <c r="M252">
        <v>6</v>
      </c>
      <c r="N252">
        <v>14</v>
      </c>
      <c r="O252" t="s">
        <v>21</v>
      </c>
      <c r="P252" t="s">
        <v>59</v>
      </c>
    </row>
    <row r="253" spans="1:16">
      <c r="A253" t="s">
        <v>413</v>
      </c>
      <c r="B253" s="2" t="str">
        <f>Hyperlink("https://www.diodes.com/datasheet/download/D5V0L4B5TS.pdf")</f>
        <v>https://www.diodes.com/datasheet/download/D5V0L4B5TS.pdf</v>
      </c>
      <c r="C253" t="str">
        <f>Hyperlink("https://www.diodes.com/part/view/D5V0L4B5TS","D5V0L4B5TS")</f>
        <v>D5V0L4B5TS</v>
      </c>
      <c r="E253" t="s">
        <v>18</v>
      </c>
      <c r="F253" t="s">
        <v>19</v>
      </c>
      <c r="G253">
        <v>4</v>
      </c>
      <c r="H253" t="s">
        <v>304</v>
      </c>
      <c r="I253">
        <v>15</v>
      </c>
      <c r="J253">
        <v>5</v>
      </c>
      <c r="K253">
        <v>6</v>
      </c>
      <c r="L253">
        <v>0.01</v>
      </c>
      <c r="M253">
        <v>6</v>
      </c>
      <c r="N253">
        <v>14</v>
      </c>
      <c r="O253" t="s">
        <v>21</v>
      </c>
      <c r="P253" t="s">
        <v>414</v>
      </c>
    </row>
    <row r="254" spans="1:16">
      <c r="A254" t="s">
        <v>415</v>
      </c>
      <c r="B254" s="2" t="str">
        <f>Hyperlink("https://www.diodes.com/datasheet/download/D5V0L4B5V.pdf")</f>
        <v>https://www.diodes.com/datasheet/download/D5V0L4B5V.pdf</v>
      </c>
      <c r="C254" t="str">
        <f>Hyperlink("https://www.diodes.com/part/view/D5V0L4B5V","D5V0L4B5V")</f>
        <v>D5V0L4B5V</v>
      </c>
      <c r="E254" t="s">
        <v>18</v>
      </c>
      <c r="F254" t="s">
        <v>19</v>
      </c>
      <c r="G254">
        <v>4</v>
      </c>
      <c r="H254" t="s">
        <v>304</v>
      </c>
      <c r="I254">
        <v>15</v>
      </c>
      <c r="J254">
        <v>5</v>
      </c>
      <c r="K254">
        <v>6</v>
      </c>
      <c r="L254">
        <v>0.01</v>
      </c>
      <c r="M254">
        <v>6</v>
      </c>
      <c r="N254">
        <v>14</v>
      </c>
      <c r="O254" t="s">
        <v>21</v>
      </c>
      <c r="P254" t="s">
        <v>416</v>
      </c>
    </row>
    <row r="255" spans="1:16">
      <c r="A255" t="s">
        <v>417</v>
      </c>
      <c r="B255" s="2" t="str">
        <f>Hyperlink("https://www.diodes.com/datasheet/download/D5V0M1U2LP3.pdf")</f>
        <v>https://www.diodes.com/datasheet/download/D5V0M1U2LP3.pdf</v>
      </c>
      <c r="C255" t="str">
        <f>Hyperlink("https://www.diodes.com/part/view/D5V0M1U2LP3","D5V0M1U2LP3")</f>
        <v>D5V0M1U2LP3</v>
      </c>
      <c r="D255" t="s">
        <v>418</v>
      </c>
      <c r="E255" t="s">
        <v>18</v>
      </c>
      <c r="F255" t="s">
        <v>19</v>
      </c>
      <c r="G255">
        <v>1</v>
      </c>
      <c r="H255" t="s">
        <v>20</v>
      </c>
      <c r="I255">
        <v>55</v>
      </c>
      <c r="J255">
        <v>5.5</v>
      </c>
      <c r="K255">
        <v>6.2</v>
      </c>
      <c r="M255">
        <v>10</v>
      </c>
      <c r="N255">
        <v>11</v>
      </c>
      <c r="O255" t="s">
        <v>21</v>
      </c>
      <c r="P255" t="s">
        <v>100</v>
      </c>
    </row>
    <row r="256" spans="1:16">
      <c r="A256" t="s">
        <v>419</v>
      </c>
      <c r="B256" s="2" t="str">
        <f>Hyperlink("https://www.diodes.com/datasheet/download/D5V0M1U2S9.pdf")</f>
        <v>https://www.diodes.com/datasheet/download/D5V0M1U2S9.pdf</v>
      </c>
      <c r="C256" t="str">
        <f>Hyperlink("https://www.diodes.com/part/view/D5V0M1U2S9","D5V0M1U2S9")</f>
        <v>D5V0M1U2S9</v>
      </c>
      <c r="E256" t="s">
        <v>18</v>
      </c>
      <c r="F256" t="s">
        <v>19</v>
      </c>
      <c r="G256">
        <v>1</v>
      </c>
      <c r="H256" t="s">
        <v>20</v>
      </c>
      <c r="I256">
        <v>54</v>
      </c>
      <c r="J256">
        <v>5.5</v>
      </c>
      <c r="K256">
        <v>6.2</v>
      </c>
      <c r="M256">
        <v>9</v>
      </c>
      <c r="N256">
        <v>12</v>
      </c>
      <c r="O256" t="s">
        <v>21</v>
      </c>
      <c r="P256" t="s">
        <v>102</v>
      </c>
    </row>
    <row r="257" spans="1:16">
      <c r="A257" t="s">
        <v>420</v>
      </c>
      <c r="B257" s="2" t="str">
        <f>Hyperlink("https://www.diodes.com/datasheet/download/D5V0M1U2S9Q.pdf")</f>
        <v>https://www.diodes.com/datasheet/download/D5V0M1U2S9Q.pdf</v>
      </c>
      <c r="C257" t="str">
        <f>Hyperlink("https://www.diodes.com/part/view/D5V0M1U2S9Q","D5V0M1U2S9Q")</f>
        <v>D5V0M1U2S9Q</v>
      </c>
      <c r="D257" t="s">
        <v>418</v>
      </c>
      <c r="E257" t="s">
        <v>32</v>
      </c>
      <c r="F257" t="s">
        <v>33</v>
      </c>
      <c r="G257">
        <v>1</v>
      </c>
      <c r="H257" t="s">
        <v>20</v>
      </c>
      <c r="I257">
        <v>54</v>
      </c>
      <c r="J257">
        <v>5.5</v>
      </c>
      <c r="K257">
        <v>6.2</v>
      </c>
      <c r="M257">
        <v>9</v>
      </c>
      <c r="N257">
        <v>12</v>
      </c>
      <c r="O257" t="s">
        <v>21</v>
      </c>
      <c r="P257" t="s">
        <v>102</v>
      </c>
    </row>
    <row r="258" spans="1:16">
      <c r="A258" t="s">
        <v>421</v>
      </c>
      <c r="B258" s="2" t="str">
        <f>Hyperlink("https://www.diodes.com/datasheet/download/D5V0M2B3LP.pdf")</f>
        <v>https://www.diodes.com/datasheet/download/D5V0M2B3LP.pdf</v>
      </c>
      <c r="C258" t="str">
        <f>Hyperlink("https://www.diodes.com/part/view/D5V0M2B3LP","D5V0M2B3LP")</f>
        <v>D5V0M2B3LP</v>
      </c>
      <c r="E258" t="s">
        <v>18</v>
      </c>
      <c r="F258" t="s">
        <v>19</v>
      </c>
      <c r="G258">
        <v>2</v>
      </c>
      <c r="H258" t="s">
        <v>295</v>
      </c>
      <c r="I258">
        <v>28</v>
      </c>
      <c r="J258">
        <v>5</v>
      </c>
      <c r="K258">
        <v>5.5</v>
      </c>
      <c r="L258">
        <v>0.005</v>
      </c>
      <c r="M258">
        <v>12</v>
      </c>
      <c r="N258">
        <v>14</v>
      </c>
      <c r="O258" t="s">
        <v>21</v>
      </c>
      <c r="P258" t="s">
        <v>267</v>
      </c>
    </row>
    <row r="259" spans="1:16">
      <c r="A259" t="s">
        <v>422</v>
      </c>
      <c r="B259" s="2" t="str">
        <f>Hyperlink("https://www.diodes.com/datasheet/download/D5V0M2B3LP10.pdf")</f>
        <v>https://www.diodes.com/datasheet/download/D5V0M2B3LP10.pdf</v>
      </c>
      <c r="C259" t="str">
        <f>Hyperlink("https://www.diodes.com/part/view/D5V0M2B3LP10","D5V0M2B3LP10")</f>
        <v>D5V0M2B3LP10</v>
      </c>
      <c r="D259" t="s">
        <v>387</v>
      </c>
      <c r="E259" t="s">
        <v>18</v>
      </c>
      <c r="F259" t="s">
        <v>19</v>
      </c>
      <c r="G259">
        <v>2</v>
      </c>
      <c r="H259" t="s">
        <v>295</v>
      </c>
      <c r="I259">
        <v>28</v>
      </c>
      <c r="J259">
        <v>5</v>
      </c>
      <c r="K259">
        <v>5.5</v>
      </c>
      <c r="L259">
        <v>0.005</v>
      </c>
      <c r="M259">
        <v>12</v>
      </c>
      <c r="N259">
        <v>14</v>
      </c>
      <c r="O259" t="s">
        <v>21</v>
      </c>
      <c r="P259" t="s">
        <v>297</v>
      </c>
    </row>
    <row r="260" spans="1:16">
      <c r="A260" t="s">
        <v>423</v>
      </c>
      <c r="B260" s="2" t="str">
        <f>Hyperlink("https://www.diodes.com/datasheet/download/D5V0M5B6LP16.pdf")</f>
        <v>https://www.diodes.com/datasheet/download/D5V0M5B6LP16.pdf</v>
      </c>
      <c r="C260" t="str">
        <f>Hyperlink("https://www.diodes.com/part/view/D5V0M5B6LP16","D5V0M5B6LP16")</f>
        <v>D5V0M5B6LP16</v>
      </c>
      <c r="D260" t="s">
        <v>387</v>
      </c>
      <c r="E260" t="s">
        <v>18</v>
      </c>
      <c r="F260" t="s">
        <v>19</v>
      </c>
      <c r="G260">
        <v>5</v>
      </c>
      <c r="H260" t="s">
        <v>424</v>
      </c>
      <c r="I260">
        <v>35</v>
      </c>
      <c r="J260">
        <v>5</v>
      </c>
      <c r="K260">
        <v>5.5</v>
      </c>
      <c r="L260">
        <v>0.005</v>
      </c>
      <c r="M260">
        <v>12</v>
      </c>
      <c r="N260">
        <v>14</v>
      </c>
      <c r="O260" t="s">
        <v>21</v>
      </c>
      <c r="P260" t="s">
        <v>425</v>
      </c>
    </row>
    <row r="261" spans="1:16">
      <c r="A261" t="s">
        <v>426</v>
      </c>
      <c r="B261" s="2" t="str">
        <f>Hyperlink("https://www.diodes.com/datasheet/download/D5V0M6B6V.pdf")</f>
        <v>https://www.diodes.com/datasheet/download/D5V0M6B6V.pdf</v>
      </c>
      <c r="C261" t="str">
        <f>Hyperlink("https://www.diodes.com/part/view/D5V0M6B6V","D5V0M6B6V")</f>
        <v>D5V0M6B6V</v>
      </c>
      <c r="D261" t="s">
        <v>427</v>
      </c>
      <c r="E261" t="s">
        <v>18</v>
      </c>
      <c r="F261" t="s">
        <v>33</v>
      </c>
      <c r="G261">
        <v>6</v>
      </c>
      <c r="H261" t="s">
        <v>428</v>
      </c>
      <c r="J261">
        <v>5</v>
      </c>
      <c r="K261">
        <v>6</v>
      </c>
      <c r="M261">
        <v>7</v>
      </c>
      <c r="N261">
        <v>12</v>
      </c>
      <c r="O261" t="s">
        <v>21</v>
      </c>
      <c r="P261" t="s">
        <v>429</v>
      </c>
    </row>
    <row r="262" spans="1:16">
      <c r="A262" t="s">
        <v>430</v>
      </c>
      <c r="B262" s="2" t="str">
        <f>Hyperlink("https://www.diodes.com/datasheet/download/D5V0P1B2LP.pdf")</f>
        <v>https://www.diodes.com/datasheet/download/D5V0P1B2LP.pdf</v>
      </c>
      <c r="C262" t="str">
        <f>Hyperlink("https://www.diodes.com/part/view/D5V0P1B2LP","D5V0P1B2LP")</f>
        <v>D5V0P1B2LP</v>
      </c>
      <c r="E262" t="s">
        <v>18</v>
      </c>
      <c r="F262" t="s">
        <v>19</v>
      </c>
      <c r="G262">
        <v>1</v>
      </c>
      <c r="H262" t="s">
        <v>28</v>
      </c>
      <c r="I262">
        <v>8</v>
      </c>
      <c r="J262">
        <v>5.5</v>
      </c>
      <c r="K262">
        <v>6</v>
      </c>
      <c r="L262">
        <v>0.01</v>
      </c>
      <c r="M262">
        <v>4</v>
      </c>
      <c r="N262">
        <v>13</v>
      </c>
      <c r="O262" t="s">
        <v>154</v>
      </c>
      <c r="P262" t="s">
        <v>22</v>
      </c>
    </row>
    <row r="263" spans="1:16">
      <c r="A263" t="s">
        <v>431</v>
      </c>
      <c r="B263" s="2" t="str">
        <f>Hyperlink("https://www.diodes.com/datasheet/download/D5V0P1B2LP3.pdf")</f>
        <v>https://www.diodes.com/datasheet/download/D5V0P1B2LP3.pdf</v>
      </c>
      <c r="C263" t="str">
        <f>Hyperlink("https://www.diodes.com/part/view/D5V0P1B2LP3","D5V0P1B2LP3")</f>
        <v>D5V0P1B2LP3</v>
      </c>
      <c r="E263" t="s">
        <v>18</v>
      </c>
      <c r="F263" t="s">
        <v>19</v>
      </c>
      <c r="G263">
        <v>1</v>
      </c>
      <c r="H263" t="s">
        <v>28</v>
      </c>
      <c r="I263">
        <v>8</v>
      </c>
      <c r="J263">
        <v>5.5</v>
      </c>
      <c r="K263">
        <v>6</v>
      </c>
      <c r="L263">
        <v>0.01</v>
      </c>
      <c r="M263">
        <v>4</v>
      </c>
      <c r="N263">
        <v>13</v>
      </c>
      <c r="O263" t="s">
        <v>154</v>
      </c>
      <c r="P263" t="s">
        <v>100</v>
      </c>
    </row>
    <row r="264" spans="1:16">
      <c r="A264" t="s">
        <v>432</v>
      </c>
      <c r="B264" s="2" t="str">
        <f>Hyperlink("https://www.diodes.com/datasheet/download/D5V0P4B5LP08.pdf")</f>
        <v>https://www.diodes.com/datasheet/download/D5V0P4B5LP08.pdf</v>
      </c>
      <c r="C264" t="str">
        <f>Hyperlink("https://www.diodes.com/part/view/D5V0P4B5LP08","D5V0P4B5LP08")</f>
        <v>D5V0P4B5LP08</v>
      </c>
      <c r="E264" t="s">
        <v>18</v>
      </c>
      <c r="F264" t="s">
        <v>19</v>
      </c>
      <c r="G264">
        <v>4</v>
      </c>
      <c r="H264" t="s">
        <v>304</v>
      </c>
      <c r="I264">
        <v>4.8</v>
      </c>
      <c r="J264" t="s">
        <v>433</v>
      </c>
      <c r="K264">
        <v>6</v>
      </c>
      <c r="M264">
        <v>3</v>
      </c>
      <c r="O264" t="s">
        <v>154</v>
      </c>
      <c r="P264" t="s">
        <v>434</v>
      </c>
    </row>
    <row r="265" spans="1:16">
      <c r="A265" t="s">
        <v>435</v>
      </c>
      <c r="B265" s="2" t="str">
        <f>Hyperlink("https://www.diodes.com/datasheet/download/D5V0P4UR6SO.pdf")</f>
        <v>https://www.diodes.com/datasheet/download/D5V0P4UR6SO.pdf</v>
      </c>
      <c r="C265" t="str">
        <f>Hyperlink("https://www.diodes.com/part/view/D5V0P4UR6SO","D5V0P4UR6SO")</f>
        <v>D5V0P4UR6SO</v>
      </c>
      <c r="D265" t="s">
        <v>269</v>
      </c>
      <c r="E265" t="s">
        <v>18</v>
      </c>
      <c r="F265" t="s">
        <v>19</v>
      </c>
      <c r="G265">
        <v>4</v>
      </c>
      <c r="H265" t="s">
        <v>70</v>
      </c>
      <c r="I265">
        <v>2.1</v>
      </c>
      <c r="J265">
        <v>3.3</v>
      </c>
      <c r="K265">
        <v>4.5</v>
      </c>
      <c r="M265">
        <v>45</v>
      </c>
      <c r="O265" t="s">
        <v>21</v>
      </c>
      <c r="P265" t="s">
        <v>61</v>
      </c>
    </row>
    <row r="266" spans="1:16">
      <c r="A266" t="s">
        <v>436</v>
      </c>
      <c r="B266" s="2" t="str">
        <f>Hyperlink("https://www.diodes.com/datasheet/download/D5V0P4UR6SOQ.pdf")</f>
        <v>https://www.diodes.com/datasheet/download/D5V0P4UR6SOQ.pdf</v>
      </c>
      <c r="C266" t="str">
        <f>Hyperlink("https://www.diodes.com/part/view/D5V0P4UR6SOQ","D5V0P4UR6SOQ")</f>
        <v>D5V0P4UR6SOQ</v>
      </c>
      <c r="D266" t="s">
        <v>437</v>
      </c>
      <c r="E266" t="s">
        <v>32</v>
      </c>
      <c r="F266" t="s">
        <v>33</v>
      </c>
      <c r="G266">
        <v>4</v>
      </c>
      <c r="H266" t="s">
        <v>70</v>
      </c>
      <c r="I266">
        <v>2.1</v>
      </c>
      <c r="J266">
        <v>3.3</v>
      </c>
      <c r="K266">
        <v>4.5</v>
      </c>
      <c r="M266">
        <v>45</v>
      </c>
      <c r="O266" t="s">
        <v>21</v>
      </c>
      <c r="P266" t="s">
        <v>61</v>
      </c>
    </row>
    <row r="267" spans="1:16">
      <c r="A267" t="s">
        <v>438</v>
      </c>
      <c r="B267" s="2" t="str">
        <f>Hyperlink("https://www.diodes.com/datasheet/download/D5V0P4URL6SO.pdf")</f>
        <v>https://www.diodes.com/datasheet/download/D5V0P4URL6SO.pdf</v>
      </c>
      <c r="C267" t="str">
        <f>Hyperlink("https://www.diodes.com/part/view/D5V0P4URL6SO","D5V0P4URL6SO")</f>
        <v>D5V0P4URL6SO</v>
      </c>
      <c r="D267" t="s">
        <v>269</v>
      </c>
      <c r="E267" t="s">
        <v>18</v>
      </c>
      <c r="F267" t="s">
        <v>19</v>
      </c>
      <c r="G267">
        <v>4</v>
      </c>
      <c r="H267" t="s">
        <v>70</v>
      </c>
      <c r="I267">
        <v>2.4</v>
      </c>
      <c r="J267">
        <v>3.3</v>
      </c>
      <c r="K267">
        <v>4.5</v>
      </c>
      <c r="M267">
        <v>20</v>
      </c>
      <c r="O267">
        <v>30</v>
      </c>
      <c r="P267" t="s">
        <v>61</v>
      </c>
    </row>
    <row r="268" spans="1:16">
      <c r="A268" t="s">
        <v>439</v>
      </c>
      <c r="B268" s="2" t="str">
        <f>Hyperlink("https://www.diodes.com/datasheet/download/D5V0Q1B2LP3.pdf")</f>
        <v>https://www.diodes.com/datasheet/download/D5V0Q1B2LP3.pdf</v>
      </c>
      <c r="C268" t="str">
        <f>Hyperlink("https://www.diodes.com/part/view/D5V0Q1B2LP3","D5V0Q1B2LP3")</f>
        <v>D5V0Q1B2LP3</v>
      </c>
      <c r="E268" t="s">
        <v>18</v>
      </c>
      <c r="F268" t="s">
        <v>19</v>
      </c>
      <c r="G268">
        <v>1</v>
      </c>
      <c r="H268" t="s">
        <v>28</v>
      </c>
      <c r="I268">
        <v>6</v>
      </c>
      <c r="J268">
        <v>5.5</v>
      </c>
      <c r="K268">
        <v>6</v>
      </c>
      <c r="L268">
        <v>0.01</v>
      </c>
      <c r="M268">
        <v>3</v>
      </c>
      <c r="N268">
        <v>11</v>
      </c>
      <c r="O268" t="s">
        <v>154</v>
      </c>
      <c r="P268" t="s">
        <v>100</v>
      </c>
    </row>
    <row r="269" spans="1:16">
      <c r="A269" t="s">
        <v>440</v>
      </c>
      <c r="B269" s="2" t="str">
        <f>Hyperlink("https://www.diodes.com/datasheet/download/D5V0S1B2LP.pdf")</f>
        <v>https://www.diodes.com/datasheet/download/D5V0S1B2LP.pdf</v>
      </c>
      <c r="C269" t="str">
        <f>Hyperlink("https://www.diodes.com/part/view/D5V0S1B2LP","D5V0S1B2LP")</f>
        <v>D5V0S1B2LP</v>
      </c>
      <c r="E269" t="s">
        <v>18</v>
      </c>
      <c r="F269" t="s">
        <v>19</v>
      </c>
      <c r="G269">
        <v>1</v>
      </c>
      <c r="H269" t="s">
        <v>28</v>
      </c>
      <c r="I269">
        <v>100</v>
      </c>
      <c r="J269">
        <v>5.5</v>
      </c>
      <c r="K269">
        <v>6</v>
      </c>
      <c r="L269">
        <v>0.1</v>
      </c>
      <c r="M269">
        <v>40</v>
      </c>
      <c r="N269">
        <v>11</v>
      </c>
      <c r="O269" t="s">
        <v>21</v>
      </c>
      <c r="P269" t="s">
        <v>22</v>
      </c>
    </row>
    <row r="270" spans="1:16">
      <c r="A270" t="s">
        <v>441</v>
      </c>
      <c r="B270" s="2" t="str">
        <f>Hyperlink("https://www.diodes.com/datasheet/download/D5V0S1U2LP.pdf")</f>
        <v>https://www.diodes.com/datasheet/download/D5V0S1U2LP.pdf</v>
      </c>
      <c r="C270" t="str">
        <f>Hyperlink("https://www.diodes.com/part/view/D5V0S1U2LP","D5V0S1U2LP")</f>
        <v>D5V0S1U2LP</v>
      </c>
      <c r="D270" t="s">
        <v>442</v>
      </c>
      <c r="E270" t="s">
        <v>18</v>
      </c>
      <c r="F270" t="s">
        <v>33</v>
      </c>
      <c r="G270">
        <v>1</v>
      </c>
      <c r="H270" t="s">
        <v>20</v>
      </c>
      <c r="I270">
        <v>210</v>
      </c>
      <c r="J270">
        <v>5.5</v>
      </c>
      <c r="K270">
        <v>6.2</v>
      </c>
      <c r="L270">
        <v>0.1</v>
      </c>
      <c r="M270">
        <v>40</v>
      </c>
      <c r="N270">
        <v>13</v>
      </c>
      <c r="O270" t="s">
        <v>21</v>
      </c>
      <c r="P270" t="s">
        <v>22</v>
      </c>
    </row>
    <row r="271" spans="1:16">
      <c r="A271" t="s">
        <v>443</v>
      </c>
      <c r="B271" s="2" t="str">
        <f>Hyperlink("https://www.diodes.com/datasheet/download/ds41785.pdf")</f>
        <v>https://www.diodes.com/datasheet/download/ds41785.pdf</v>
      </c>
      <c r="C271" t="str">
        <f>Hyperlink("https://www.diodes.com/part/view/D5V0S1U2LP1608","D5V0S1U2LP1608")</f>
        <v>D5V0S1U2LP1608</v>
      </c>
      <c r="D271" t="s">
        <v>113</v>
      </c>
      <c r="E271" t="s">
        <v>18</v>
      </c>
      <c r="F271" t="s">
        <v>19</v>
      </c>
      <c r="G271">
        <v>1</v>
      </c>
      <c r="H271" t="s">
        <v>20</v>
      </c>
      <c r="I271">
        <v>800</v>
      </c>
      <c r="J271">
        <v>5</v>
      </c>
      <c r="K271">
        <v>6</v>
      </c>
      <c r="M271">
        <v>80</v>
      </c>
      <c r="N271">
        <v>15</v>
      </c>
      <c r="O271" t="s">
        <v>21</v>
      </c>
      <c r="P271" t="s">
        <v>110</v>
      </c>
    </row>
    <row r="272" spans="1:16">
      <c r="A272" t="s">
        <v>444</v>
      </c>
      <c r="B272" s="2" t="str">
        <f>Hyperlink("https://www.diodes.com/datasheet/download/D5V0S1U2LP1608A.pdf")</f>
        <v>https://www.diodes.com/datasheet/download/D5V0S1U2LP1608A.pdf</v>
      </c>
      <c r="C272" t="str">
        <f>Hyperlink("https://www.diodes.com/part/view/D5V0S1U2LP1608A","D5V0S1U2LP1608A")</f>
        <v>D5V0S1U2LP1608A</v>
      </c>
      <c r="D272" t="s">
        <v>24</v>
      </c>
      <c r="E272" t="s">
        <v>18</v>
      </c>
      <c r="F272" t="s">
        <v>19</v>
      </c>
      <c r="G272">
        <v>1</v>
      </c>
      <c r="H272" t="s">
        <v>20</v>
      </c>
      <c r="I272">
        <v>800</v>
      </c>
      <c r="J272">
        <v>5</v>
      </c>
      <c r="K272">
        <v>6</v>
      </c>
      <c r="M272">
        <v>80</v>
      </c>
      <c r="N272">
        <v>15</v>
      </c>
      <c r="O272" t="s">
        <v>21</v>
      </c>
      <c r="P272" t="s">
        <v>110</v>
      </c>
    </row>
    <row r="273" spans="1:16">
      <c r="A273" t="s">
        <v>445</v>
      </c>
      <c r="B273" s="2" t="str">
        <f>Hyperlink("https://www.diodes.com/datasheet/download/D5V0S1U2LP1610.pdf")</f>
        <v>https://www.diodes.com/datasheet/download/D5V0S1U2LP1610.pdf</v>
      </c>
      <c r="C273" t="str">
        <f>Hyperlink("https://www.diodes.com/part/view/D5V0S1U2LP1610","D5V0S1U2LP1610")</f>
        <v>D5V0S1U2LP1610</v>
      </c>
      <c r="E273" t="s">
        <v>18</v>
      </c>
      <c r="F273" t="s">
        <v>19</v>
      </c>
      <c r="G273">
        <v>1</v>
      </c>
      <c r="H273" t="s">
        <v>20</v>
      </c>
      <c r="I273">
        <v>800</v>
      </c>
      <c r="J273">
        <v>5</v>
      </c>
      <c r="K273">
        <v>6</v>
      </c>
      <c r="M273">
        <v>150</v>
      </c>
      <c r="N273">
        <v>11.5</v>
      </c>
      <c r="O273" t="s">
        <v>21</v>
      </c>
      <c r="P273" t="s">
        <v>87</v>
      </c>
    </row>
    <row r="274" spans="1:16">
      <c r="A274" t="s">
        <v>446</v>
      </c>
      <c r="B274" s="2" t="str">
        <f>Hyperlink("https://www.diodes.com/datasheet/download/D5V0S1U2LP1610Q.pdf")</f>
        <v>https://www.diodes.com/datasheet/download/D5V0S1U2LP1610Q.pdf</v>
      </c>
      <c r="C274" t="str">
        <f>Hyperlink("https://www.diodes.com/part/view/D5V0S1U2LP1610Q","D5V0S1U2LP1610Q")</f>
        <v>D5V0S1U2LP1610Q</v>
      </c>
      <c r="D274" t="s">
        <v>447</v>
      </c>
      <c r="E274" t="s">
        <v>32</v>
      </c>
      <c r="F274" t="s">
        <v>33</v>
      </c>
      <c r="G274">
        <v>1</v>
      </c>
      <c r="H274" t="s">
        <v>20</v>
      </c>
      <c r="I274">
        <v>800</v>
      </c>
      <c r="J274">
        <v>5</v>
      </c>
      <c r="K274">
        <v>6</v>
      </c>
      <c r="M274">
        <v>150</v>
      </c>
      <c r="N274">
        <v>12</v>
      </c>
      <c r="O274" t="s">
        <v>21</v>
      </c>
      <c r="P274" t="s">
        <v>87</v>
      </c>
    </row>
    <row r="275" spans="1:16">
      <c r="A275" t="s">
        <v>448</v>
      </c>
      <c r="B275" s="2" t="str">
        <f>Hyperlink("https://www.diodes.com/datasheet/download/D5V0S1U2LPSQ.pdf")</f>
        <v>https://www.diodes.com/datasheet/download/D5V0S1U2LPSQ.pdf</v>
      </c>
      <c r="C275" t="str">
        <f>Hyperlink("https://www.diodes.com/part/view/D5V0S1U2LPSQ","D5V0S1U2LPSQ")</f>
        <v>D5V0S1U2LPSQ</v>
      </c>
      <c r="D275" t="s">
        <v>442</v>
      </c>
      <c r="E275" t="s">
        <v>32</v>
      </c>
      <c r="F275" t="s">
        <v>33</v>
      </c>
      <c r="G275">
        <v>1</v>
      </c>
      <c r="H275" t="s">
        <v>20</v>
      </c>
      <c r="I275">
        <v>210</v>
      </c>
      <c r="J275">
        <v>5.5</v>
      </c>
      <c r="K275">
        <v>6.2</v>
      </c>
      <c r="L275">
        <v>0.1</v>
      </c>
      <c r="M275">
        <v>40</v>
      </c>
      <c r="N275">
        <v>11</v>
      </c>
      <c r="O275" t="s">
        <v>21</v>
      </c>
      <c r="P275" t="s">
        <v>329</v>
      </c>
    </row>
    <row r="276" spans="1:16">
      <c r="A276" t="s">
        <v>449</v>
      </c>
      <c r="B276" s="2" t="str">
        <f>Hyperlink("https://www.diodes.com/datasheet/download/D5V0S1U2WS.pdf")</f>
        <v>https://www.diodes.com/datasheet/download/D5V0S1U2WS.pdf</v>
      </c>
      <c r="C276" t="str">
        <f>Hyperlink("https://www.diodes.com/part/view/D5V0S1U2WS","D5V0S1U2WS")</f>
        <v>D5V0S1U2WS</v>
      </c>
      <c r="D276" t="s">
        <v>418</v>
      </c>
      <c r="E276" t="s">
        <v>18</v>
      </c>
      <c r="F276" t="s">
        <v>19</v>
      </c>
      <c r="G276">
        <v>1</v>
      </c>
      <c r="H276" t="s">
        <v>20</v>
      </c>
      <c r="I276">
        <v>950</v>
      </c>
      <c r="J276">
        <v>5.5</v>
      </c>
      <c r="K276">
        <v>6.2</v>
      </c>
      <c r="L276">
        <v>1</v>
      </c>
      <c r="M276">
        <v>70</v>
      </c>
      <c r="N276">
        <v>16</v>
      </c>
      <c r="O276" t="s">
        <v>21</v>
      </c>
      <c r="P276" t="s">
        <v>51</v>
      </c>
    </row>
    <row r="277" spans="1:16">
      <c r="A277" t="s">
        <v>450</v>
      </c>
      <c r="B277" s="2" t="str">
        <f>Hyperlink("https://www.diodes.com/datasheet/download/D5V0S1UN2LP1610.pdf")</f>
        <v>https://www.diodes.com/datasheet/download/D5V0S1UN2LP1610.pdf</v>
      </c>
      <c r="C277" t="str">
        <f>Hyperlink("https://www.diodes.com/part/view/D5V0S1UN2LP1610","D5V0S1UN2LP1610")</f>
        <v>D5V0S1UN2LP1610</v>
      </c>
      <c r="D277" t="s">
        <v>129</v>
      </c>
      <c r="E277" t="s">
        <v>18</v>
      </c>
      <c r="F277" t="s">
        <v>19</v>
      </c>
      <c r="G277">
        <v>1</v>
      </c>
      <c r="H277" t="s">
        <v>20</v>
      </c>
      <c r="I277">
        <v>390</v>
      </c>
      <c r="J277">
        <v>5</v>
      </c>
      <c r="K277">
        <v>5.1</v>
      </c>
      <c r="M277">
        <v>120</v>
      </c>
      <c r="O277" t="s">
        <v>21</v>
      </c>
      <c r="P277" t="s">
        <v>87</v>
      </c>
    </row>
    <row r="278" spans="1:16">
      <c r="A278" t="s">
        <v>451</v>
      </c>
      <c r="B278" s="2" t="str">
        <f>Hyperlink("https://www.diodes.com/datasheet/download/D5V0S1US2LP.pdf")</f>
        <v>https://www.diodes.com/datasheet/download/D5V0S1US2LP.pdf</v>
      </c>
      <c r="C278" t="str">
        <f>Hyperlink("https://www.diodes.com/part/view/D5V0S1US2LP","D5V0S1US2LP")</f>
        <v>D5V0S1US2LP</v>
      </c>
      <c r="D278" t="s">
        <v>17</v>
      </c>
      <c r="E278" t="s">
        <v>18</v>
      </c>
      <c r="F278" t="s">
        <v>19</v>
      </c>
      <c r="G278">
        <v>1</v>
      </c>
      <c r="H278" t="s">
        <v>20</v>
      </c>
      <c r="I278">
        <v>260</v>
      </c>
      <c r="J278">
        <v>5</v>
      </c>
      <c r="K278">
        <v>5.8</v>
      </c>
      <c r="L278">
        <v>0.01</v>
      </c>
      <c r="M278">
        <v>60</v>
      </c>
      <c r="N278">
        <v>11</v>
      </c>
      <c r="O278" t="s">
        <v>21</v>
      </c>
      <c r="P278" t="s">
        <v>287</v>
      </c>
    </row>
    <row r="279" spans="1:16">
      <c r="A279" t="s">
        <v>452</v>
      </c>
      <c r="B279" s="2" t="str">
        <f>Hyperlink("https://www.diodes.com/datasheet/download/D5V0S1US2SLP.pdf")</f>
        <v>https://www.diodes.com/datasheet/download/D5V0S1US2SLP.pdf</v>
      </c>
      <c r="C279" t="str">
        <f>Hyperlink("https://www.diodes.com/part/view/D5V0S1US2SLP","D5V0S1US2SLP")</f>
        <v>D5V0S1US2SLP</v>
      </c>
      <c r="D279" t="s">
        <v>453</v>
      </c>
      <c r="E279" t="s">
        <v>18</v>
      </c>
      <c r="F279" t="s">
        <v>19</v>
      </c>
      <c r="G279">
        <v>1</v>
      </c>
      <c r="H279" t="s">
        <v>20</v>
      </c>
      <c r="I279">
        <v>290</v>
      </c>
      <c r="J279">
        <v>5</v>
      </c>
      <c r="K279">
        <v>5.1</v>
      </c>
      <c r="L279">
        <v>0.01</v>
      </c>
      <c r="M279">
        <v>90</v>
      </c>
      <c r="O279" t="s">
        <v>21</v>
      </c>
      <c r="P279" t="s">
        <v>345</v>
      </c>
    </row>
    <row r="280" spans="1:16">
      <c r="A280" t="s">
        <v>454</v>
      </c>
      <c r="B280" s="2" t="str">
        <f>Hyperlink("https://www.diodes.com/datasheet/download/D5V0X1B2LP.pdf")</f>
        <v>https://www.diodes.com/datasheet/download/D5V0X1B2LP.pdf</v>
      </c>
      <c r="C280" t="str">
        <f>Hyperlink("https://www.diodes.com/part/view/D5V0X1B2LP","D5V0X1B2LP")</f>
        <v>D5V0X1B2LP</v>
      </c>
      <c r="D280" t="s">
        <v>455</v>
      </c>
      <c r="E280" t="s">
        <v>18</v>
      </c>
      <c r="F280" t="s">
        <v>19</v>
      </c>
      <c r="G280">
        <v>1</v>
      </c>
      <c r="H280" t="s">
        <v>28</v>
      </c>
      <c r="I280">
        <v>0.3</v>
      </c>
      <c r="J280">
        <v>5.5</v>
      </c>
      <c r="K280">
        <v>7</v>
      </c>
      <c r="M280">
        <v>1.5</v>
      </c>
      <c r="O280" t="s">
        <v>154</v>
      </c>
      <c r="P280" t="s">
        <v>22</v>
      </c>
    </row>
    <row r="281" spans="1:16">
      <c r="A281" t="s">
        <v>456</v>
      </c>
      <c r="B281" s="2" t="str">
        <f>Hyperlink("https://www.diodes.com/datasheet/download/D5V0X1B2LP3.pdf")</f>
        <v>https://www.diodes.com/datasheet/download/D5V0X1B2LP3.pdf</v>
      </c>
      <c r="C281" t="str">
        <f>Hyperlink("https://www.diodes.com/part/view/D5V0X1B2LP3","D5V0X1B2LP3")</f>
        <v>D5V0X1B2LP3</v>
      </c>
      <c r="D281" t="s">
        <v>455</v>
      </c>
      <c r="E281" t="s">
        <v>18</v>
      </c>
      <c r="F281" t="s">
        <v>19</v>
      </c>
      <c r="G281">
        <v>1</v>
      </c>
      <c r="H281" t="s">
        <v>28</v>
      </c>
      <c r="I281">
        <v>0.3</v>
      </c>
      <c r="J281">
        <v>5.5</v>
      </c>
      <c r="K281">
        <v>7</v>
      </c>
      <c r="M281">
        <v>1.5</v>
      </c>
      <c r="O281" t="s">
        <v>154</v>
      </c>
      <c r="P281" t="s">
        <v>326</v>
      </c>
    </row>
    <row r="282" spans="1:16">
      <c r="A282" t="s">
        <v>457</v>
      </c>
      <c r="B282" s="2" t="str">
        <f>Hyperlink("https://www.diodes.com/datasheet/download/D5V0X1B2LP3Q.pdf")</f>
        <v>https://www.diodes.com/datasheet/download/D5V0X1B2LP3Q.pdf</v>
      </c>
      <c r="C282" t="str">
        <f>Hyperlink("https://www.diodes.com/part/view/D5V0X1B2LP3Q","D5V0X1B2LP3Q")</f>
        <v>D5V0X1B2LP3Q</v>
      </c>
      <c r="D282" t="s">
        <v>455</v>
      </c>
      <c r="E282" t="s">
        <v>32</v>
      </c>
      <c r="F282" t="s">
        <v>33</v>
      </c>
      <c r="G282">
        <v>1</v>
      </c>
      <c r="H282" t="s">
        <v>28</v>
      </c>
      <c r="I282">
        <v>0.3</v>
      </c>
      <c r="J282">
        <v>5.5</v>
      </c>
      <c r="K282">
        <v>7</v>
      </c>
      <c r="M282">
        <v>1.5</v>
      </c>
      <c r="N282">
        <v>14</v>
      </c>
      <c r="O282" t="s">
        <v>154</v>
      </c>
      <c r="P282" t="s">
        <v>326</v>
      </c>
    </row>
    <row r="283" spans="1:16">
      <c r="A283" t="s">
        <v>458</v>
      </c>
      <c r="B283" s="2" t="str">
        <f>Hyperlink("https://www.diodes.com/datasheet/download/D5V0X1B2LPQ.pdf")</f>
        <v>https://www.diodes.com/datasheet/download/D5V0X1B2LPQ.pdf</v>
      </c>
      <c r="C283" t="str">
        <f>Hyperlink("https://www.diodes.com/part/view/D5V0X1B2LPQ","D5V0X1B2LPQ")</f>
        <v>D5V0X1B2LPQ</v>
      </c>
      <c r="D283" t="s">
        <v>459</v>
      </c>
      <c r="E283" t="s">
        <v>32</v>
      </c>
      <c r="F283" t="s">
        <v>33</v>
      </c>
      <c r="G283">
        <v>1</v>
      </c>
      <c r="H283" t="s">
        <v>28</v>
      </c>
      <c r="I283">
        <v>0.3</v>
      </c>
      <c r="J283">
        <v>5.5</v>
      </c>
      <c r="K283">
        <v>7</v>
      </c>
      <c r="M283">
        <v>1.5</v>
      </c>
      <c r="O283" t="s">
        <v>154</v>
      </c>
      <c r="P283" t="s">
        <v>22</v>
      </c>
    </row>
    <row r="284" spans="1:16">
      <c r="A284" t="s">
        <v>460</v>
      </c>
      <c r="B284" s="2" t="str">
        <f>Hyperlink("https://www.diodes.com/datasheet/download/D5V0X1BA2LP.pdf")</f>
        <v>https://www.diodes.com/datasheet/download/D5V0X1BA2LP.pdf</v>
      </c>
      <c r="C284" t="str">
        <f>Hyperlink("https://www.diodes.com/part/view/D5V0X1BA2LP","D5V0X1BA2LP")</f>
        <v>D5V0X1BA2LP</v>
      </c>
      <c r="D284" t="s">
        <v>455</v>
      </c>
      <c r="E284" t="s">
        <v>18</v>
      </c>
      <c r="F284" t="s">
        <v>19</v>
      </c>
      <c r="G284">
        <v>1</v>
      </c>
      <c r="H284" t="s">
        <v>28</v>
      </c>
      <c r="I284">
        <v>0.5</v>
      </c>
      <c r="J284">
        <v>5.5</v>
      </c>
      <c r="K284">
        <v>7</v>
      </c>
      <c r="M284">
        <v>4</v>
      </c>
      <c r="N284">
        <v>17</v>
      </c>
      <c r="O284" t="s">
        <v>54</v>
      </c>
      <c r="P284" t="s">
        <v>22</v>
      </c>
    </row>
    <row r="285" spans="1:16">
      <c r="A285" t="s">
        <v>461</v>
      </c>
      <c r="B285" s="2" t="str">
        <f>Hyperlink("https://www.diodes.com/datasheet/download/DS43178.pdf")</f>
        <v>https://www.diodes.com/datasheet/download/DS43178.pdf</v>
      </c>
      <c r="C285" t="str">
        <f>Hyperlink("https://www.diodes.com/part/view/D5V0X1BA2LP4Q","D5V0X1BA2LP4Q")</f>
        <v>D5V0X1BA2LP4Q</v>
      </c>
      <c r="D285" t="s">
        <v>31</v>
      </c>
      <c r="E285" t="s">
        <v>32</v>
      </c>
      <c r="F285" t="s">
        <v>33</v>
      </c>
      <c r="G285">
        <v>1</v>
      </c>
      <c r="H285" t="s">
        <v>28</v>
      </c>
      <c r="I285">
        <v>0.5</v>
      </c>
      <c r="J285">
        <v>5.5</v>
      </c>
      <c r="K285">
        <v>7</v>
      </c>
      <c r="M285">
        <v>3.5</v>
      </c>
      <c r="N285">
        <v>17</v>
      </c>
      <c r="O285" t="s">
        <v>29</v>
      </c>
      <c r="P285" t="s">
        <v>34</v>
      </c>
    </row>
    <row r="286" spans="1:16">
      <c r="A286" t="s">
        <v>462</v>
      </c>
      <c r="B286" s="2" t="str">
        <f>Hyperlink("https://www.diodes.com/datasheet/download/D5V0X1BA2LPQ+.pdf")</f>
        <v>https://www.diodes.com/datasheet/download/D5V0X1BA2LPQ+.pdf</v>
      </c>
      <c r="C286" t="str">
        <f>Hyperlink("https://www.diodes.com/part/view/D5V0X1BA2LPQ","D5V0X1BA2LPQ")</f>
        <v>D5V0X1BA2LPQ</v>
      </c>
      <c r="D286" t="s">
        <v>459</v>
      </c>
      <c r="E286" t="s">
        <v>32</v>
      </c>
      <c r="F286" t="s">
        <v>33</v>
      </c>
      <c r="G286">
        <v>1</v>
      </c>
      <c r="H286" t="s">
        <v>28</v>
      </c>
      <c r="I286">
        <v>0.48</v>
      </c>
      <c r="J286">
        <v>5.5</v>
      </c>
      <c r="K286">
        <v>7</v>
      </c>
      <c r="M286">
        <v>4</v>
      </c>
      <c r="N286">
        <v>16</v>
      </c>
      <c r="O286" t="s">
        <v>54</v>
      </c>
      <c r="P286" t="s">
        <v>22</v>
      </c>
    </row>
    <row r="287" spans="1:16">
      <c r="A287" t="s">
        <v>463</v>
      </c>
      <c r="B287" s="2" t="str">
        <f>Hyperlink("https://www.diodes.com/datasheet/download/D5V0X1BD2LPSQ.pdf")</f>
        <v>https://www.diodes.com/datasheet/download/D5V0X1BD2LPSQ.pdf</v>
      </c>
      <c r="C287" t="str">
        <f>Hyperlink("https://www.diodes.com/part/view/D5V0X1BD2LPSQ","D5V0X1BD2LPSQ")</f>
        <v>D5V0X1BD2LPSQ</v>
      </c>
      <c r="D287" t="s">
        <v>464</v>
      </c>
      <c r="E287" t="s">
        <v>32</v>
      </c>
      <c r="F287" t="s">
        <v>33</v>
      </c>
      <c r="G287">
        <v>1</v>
      </c>
      <c r="H287" t="s">
        <v>28</v>
      </c>
      <c r="I287">
        <v>0.3</v>
      </c>
      <c r="J287">
        <v>5</v>
      </c>
      <c r="K287">
        <v>6</v>
      </c>
      <c r="M287">
        <v>7</v>
      </c>
      <c r="O287" t="s">
        <v>154</v>
      </c>
      <c r="P287" t="s">
        <v>329</v>
      </c>
    </row>
    <row r="288" spans="1:16">
      <c r="A288" t="s">
        <v>465</v>
      </c>
      <c r="B288" s="2" t="str">
        <f>Hyperlink("https://www.diodes.com/datasheet/download/D5V0X4U10LP.pdf")</f>
        <v>https://www.diodes.com/datasheet/download/D5V0X4U10LP.pdf</v>
      </c>
      <c r="C288" t="str">
        <f>Hyperlink("https://www.diodes.com/part/view/D5V0X4U10LP","D5V0X4U10LP")</f>
        <v>D5V0X4U10LP</v>
      </c>
      <c r="D288" t="s">
        <v>437</v>
      </c>
      <c r="E288" t="s">
        <v>18</v>
      </c>
      <c r="F288" t="s">
        <v>19</v>
      </c>
      <c r="G288">
        <v>4</v>
      </c>
      <c r="H288" t="s">
        <v>70</v>
      </c>
      <c r="I288">
        <v>0.4</v>
      </c>
      <c r="J288">
        <v>5</v>
      </c>
      <c r="K288">
        <v>5.5</v>
      </c>
      <c r="M288">
        <v>4</v>
      </c>
      <c r="N288">
        <v>13</v>
      </c>
      <c r="O288" t="s">
        <v>225</v>
      </c>
      <c r="P288" t="s">
        <v>271</v>
      </c>
    </row>
    <row r="289" spans="1:16">
      <c r="A289" t="s">
        <v>466</v>
      </c>
      <c r="B289" s="2" t="str">
        <f>Hyperlink("https://www.diodes.com/datasheet/download/D5V0X4U10LPQ.pdf")</f>
        <v>https://www.diodes.com/datasheet/download/D5V0X4U10LPQ.pdf</v>
      </c>
      <c r="C289" t="str">
        <f>Hyperlink("https://www.diodes.com/part/view/D5V0X4U10LPQ","D5V0X4U10LPQ")</f>
        <v>D5V0X4U10LPQ</v>
      </c>
      <c r="D289" t="s">
        <v>467</v>
      </c>
      <c r="E289" t="s">
        <v>32</v>
      </c>
      <c r="F289" t="s">
        <v>33</v>
      </c>
      <c r="G289">
        <v>4</v>
      </c>
      <c r="H289" t="s">
        <v>70</v>
      </c>
      <c r="I289">
        <v>0.4</v>
      </c>
      <c r="J289">
        <v>5</v>
      </c>
      <c r="K289">
        <v>5.5</v>
      </c>
      <c r="M289">
        <v>4</v>
      </c>
      <c r="O289" t="s">
        <v>225</v>
      </c>
      <c r="P289" t="s">
        <v>271</v>
      </c>
    </row>
    <row r="290" spans="1:16">
      <c r="A290" t="s">
        <v>468</v>
      </c>
      <c r="B290" s="2" t="str">
        <f>Hyperlink("https://www.diodes.com/datasheet/download/D5V0Z1B2LP.pdf")</f>
        <v>https://www.diodes.com/datasheet/download/D5V0Z1B2LP.pdf</v>
      </c>
      <c r="C290" t="str">
        <f>Hyperlink("https://www.diodes.com/part/view/D5V0Z1B2LP","D5V0Z1B2LP")</f>
        <v>D5V0Z1B2LP</v>
      </c>
      <c r="D290" t="s">
        <v>31</v>
      </c>
      <c r="E290" t="s">
        <v>18</v>
      </c>
      <c r="F290" t="s">
        <v>19</v>
      </c>
      <c r="G290">
        <v>1</v>
      </c>
      <c r="H290" t="s">
        <v>28</v>
      </c>
      <c r="I290">
        <v>0.25</v>
      </c>
      <c r="J290">
        <v>5.5</v>
      </c>
      <c r="K290">
        <v>5.7</v>
      </c>
      <c r="M290">
        <v>4</v>
      </c>
      <c r="N290">
        <v>18.3</v>
      </c>
      <c r="O290" t="s">
        <v>54</v>
      </c>
      <c r="P290" t="s">
        <v>22</v>
      </c>
    </row>
    <row r="291" spans="1:16">
      <c r="A291" t="s">
        <v>469</v>
      </c>
      <c r="B291" s="2" t="str">
        <f>Hyperlink("https://www.diodes.com/datasheet/download/D5V0Z1B2LP3.pdf")</f>
        <v>https://www.diodes.com/datasheet/download/D5V0Z1B2LP3.pdf</v>
      </c>
      <c r="C291" t="str">
        <f>Hyperlink("https://www.diodes.com/part/view/D5V0Z1B2LP3","D5V0Z1B2LP3")</f>
        <v>D5V0Z1B2LP3</v>
      </c>
      <c r="D291" t="s">
        <v>31</v>
      </c>
      <c r="E291" t="s">
        <v>18</v>
      </c>
      <c r="F291" t="s">
        <v>19</v>
      </c>
      <c r="G291">
        <v>1</v>
      </c>
      <c r="H291" t="s">
        <v>28</v>
      </c>
      <c r="I291">
        <v>0.25</v>
      </c>
      <c r="J291">
        <v>5.5</v>
      </c>
      <c r="K291">
        <v>5.7</v>
      </c>
      <c r="M291">
        <v>4</v>
      </c>
      <c r="N291">
        <v>18.3</v>
      </c>
      <c r="O291" t="s">
        <v>54</v>
      </c>
      <c r="P291" t="s">
        <v>326</v>
      </c>
    </row>
    <row r="292" spans="1:16">
      <c r="A292" t="s">
        <v>470</v>
      </c>
      <c r="B292" s="2" t="str">
        <f>Hyperlink("https://www.diodes.com/datasheet/download/D5V0Z1B2LPQ.pdf")</f>
        <v>https://www.diodes.com/datasheet/download/D5V0Z1B2LPQ.pdf</v>
      </c>
      <c r="C292" t="str">
        <f>Hyperlink("https://www.diodes.com/part/view/D5V0Z1B2LPQ","D5V0Z1B2LPQ")</f>
        <v>D5V0Z1B2LPQ</v>
      </c>
      <c r="D292" t="s">
        <v>31</v>
      </c>
      <c r="E292" t="s">
        <v>32</v>
      </c>
      <c r="F292" t="s">
        <v>33</v>
      </c>
      <c r="G292">
        <v>1</v>
      </c>
      <c r="H292" t="s">
        <v>28</v>
      </c>
      <c r="I292">
        <v>0.25</v>
      </c>
      <c r="J292">
        <v>5</v>
      </c>
      <c r="K292">
        <v>5.7</v>
      </c>
      <c r="M292">
        <v>4</v>
      </c>
      <c r="N292">
        <v>18.3</v>
      </c>
      <c r="O292" t="s">
        <v>54</v>
      </c>
      <c r="P292" t="s">
        <v>22</v>
      </c>
    </row>
    <row r="293" spans="1:16">
      <c r="A293" t="s">
        <v>471</v>
      </c>
      <c r="B293" s="2" t="str">
        <f>Hyperlink("https://www.diodes.com/datasheet/download/D5V0Z1B2LPSQ.pdf")</f>
        <v>https://www.diodes.com/datasheet/download/D5V0Z1B2LPSQ.pdf</v>
      </c>
      <c r="C293" t="str">
        <f>Hyperlink("https://www.diodes.com/part/view/D5V0Z1B2LPSQ","D5V0Z1B2LPSQ")</f>
        <v>D5V0Z1B2LPSQ</v>
      </c>
      <c r="D293" t="s">
        <v>31</v>
      </c>
      <c r="E293" t="s">
        <v>32</v>
      </c>
      <c r="F293" t="s">
        <v>33</v>
      </c>
      <c r="G293">
        <v>1</v>
      </c>
      <c r="H293" t="s">
        <v>28</v>
      </c>
      <c r="I293">
        <v>0.25</v>
      </c>
      <c r="J293">
        <v>5</v>
      </c>
      <c r="K293">
        <v>5.7</v>
      </c>
      <c r="M293">
        <v>3.5</v>
      </c>
      <c r="N293">
        <v>18.3</v>
      </c>
      <c r="O293" t="s">
        <v>29</v>
      </c>
      <c r="P293" t="s">
        <v>329</v>
      </c>
    </row>
    <row r="294" spans="1:16">
      <c r="A294" t="s">
        <v>472</v>
      </c>
      <c r="B294" s="2" t="str">
        <f>Hyperlink("https://www.diodes.com/datasheet/download/D60V0L4B10LP.pdf")</f>
        <v>https://www.diodes.com/datasheet/download/D60V0L4B10LP.pdf</v>
      </c>
      <c r="C294" t="str">
        <f>Hyperlink("https://www.diodes.com/part/view/D60V0L4B10LP","D60V0L4B10LP")</f>
        <v>D60V0L4B10LP</v>
      </c>
      <c r="D294" t="s">
        <v>73</v>
      </c>
      <c r="E294" t="s">
        <v>18</v>
      </c>
      <c r="F294" t="s">
        <v>19</v>
      </c>
      <c r="G294">
        <v>4</v>
      </c>
      <c r="H294" t="s">
        <v>304</v>
      </c>
      <c r="I294">
        <v>10</v>
      </c>
      <c r="J294">
        <v>60</v>
      </c>
      <c r="K294">
        <v>65</v>
      </c>
      <c r="M294">
        <v>2</v>
      </c>
      <c r="N294">
        <v>125</v>
      </c>
      <c r="O294">
        <v>8</v>
      </c>
      <c r="P294" t="s">
        <v>271</v>
      </c>
    </row>
    <row r="295" spans="1:16">
      <c r="A295" t="s">
        <v>473</v>
      </c>
      <c r="B295" s="2" t="str">
        <f>Hyperlink("https://www.diodes.com/datasheet/download/D6V3E1U2LP.pdf")</f>
        <v>https://www.diodes.com/datasheet/download/D6V3E1U2LP.pdf</v>
      </c>
      <c r="C295" t="str">
        <f>Hyperlink("https://www.diodes.com/part/view/D6V3E1U2LP","D6V3E1U2LP")</f>
        <v>D6V3E1U2LP</v>
      </c>
      <c r="D295" t="s">
        <v>17</v>
      </c>
      <c r="E295" t="s">
        <v>18</v>
      </c>
      <c r="F295" t="s">
        <v>19</v>
      </c>
      <c r="G295">
        <v>1</v>
      </c>
      <c r="H295" t="s">
        <v>20</v>
      </c>
      <c r="I295">
        <v>200</v>
      </c>
      <c r="J295">
        <v>6.3</v>
      </c>
      <c r="K295">
        <v>6.5</v>
      </c>
      <c r="L295">
        <v>0.1</v>
      </c>
      <c r="M295">
        <v>25</v>
      </c>
      <c r="N295">
        <v>12</v>
      </c>
      <c r="O295" t="s">
        <v>21</v>
      </c>
      <c r="P295" t="s">
        <v>22</v>
      </c>
    </row>
    <row r="296" spans="1:16">
      <c r="A296" t="s">
        <v>474</v>
      </c>
      <c r="B296" s="2" t="str">
        <f>Hyperlink("https://www.diodes.com/datasheet/download/D6V3H1U2LP.pdf")</f>
        <v>https://www.diodes.com/datasheet/download/D6V3H1U2LP.pdf</v>
      </c>
      <c r="C296" t="str">
        <f>Hyperlink("https://www.diodes.com/part/view/D6V3H1U2LP","D6V3H1U2LP")</f>
        <v>D6V3H1U2LP</v>
      </c>
      <c r="D296" t="s">
        <v>17</v>
      </c>
      <c r="E296" t="s">
        <v>18</v>
      </c>
      <c r="F296" t="s">
        <v>19</v>
      </c>
      <c r="G296">
        <v>1</v>
      </c>
      <c r="H296" t="s">
        <v>20</v>
      </c>
      <c r="I296">
        <v>200</v>
      </c>
      <c r="J296">
        <v>6.3</v>
      </c>
      <c r="K296">
        <v>6.5</v>
      </c>
      <c r="L296">
        <v>0.1</v>
      </c>
      <c r="M296">
        <v>30</v>
      </c>
      <c r="N296">
        <v>12.5</v>
      </c>
      <c r="O296" t="s">
        <v>21</v>
      </c>
      <c r="P296" t="s">
        <v>22</v>
      </c>
    </row>
    <row r="297" spans="1:16">
      <c r="A297" t="s">
        <v>475</v>
      </c>
      <c r="B297" s="2" t="str">
        <f>Hyperlink("https://www.diodes.com/datasheet/download/D6V3H1U2LP16.pdf")</f>
        <v>https://www.diodes.com/datasheet/download/D6V3H1U2LP16.pdf</v>
      </c>
      <c r="C297" t="str">
        <f>Hyperlink("https://www.diodes.com/part/view/D6V3H1U2LP16","D6V3H1U2LP16")</f>
        <v>D6V3H1U2LP16</v>
      </c>
      <c r="D297" t="s">
        <v>476</v>
      </c>
      <c r="E297" t="s">
        <v>18</v>
      </c>
      <c r="F297" t="s">
        <v>19</v>
      </c>
      <c r="G297">
        <v>1</v>
      </c>
      <c r="H297" t="s">
        <v>20</v>
      </c>
      <c r="I297">
        <v>800</v>
      </c>
      <c r="J297">
        <v>6.3</v>
      </c>
      <c r="K297">
        <v>6.5</v>
      </c>
      <c r="M297">
        <v>90</v>
      </c>
      <c r="N297">
        <v>11.5</v>
      </c>
      <c r="O297" t="s">
        <v>21</v>
      </c>
      <c r="P297" t="s">
        <v>87</v>
      </c>
    </row>
    <row r="298" spans="1:16">
      <c r="A298" t="s">
        <v>477</v>
      </c>
      <c r="B298" s="2" t="str">
        <f>Hyperlink("https://www.diodes.com/datasheet/download/D6V3H1U2LP1610Q.pdf")</f>
        <v>https://www.diodes.com/datasheet/download/D6V3H1U2LP1610Q.pdf</v>
      </c>
      <c r="C298" t="str">
        <f>Hyperlink("https://www.diodes.com/part/view/D6V3H1U2LP1610Q","D6V3H1U2LP1610Q")</f>
        <v>D6V3H1U2LP1610Q</v>
      </c>
      <c r="D298" t="s">
        <v>24</v>
      </c>
      <c r="E298" t="s">
        <v>32</v>
      </c>
      <c r="F298" t="s">
        <v>33</v>
      </c>
      <c r="G298">
        <v>1</v>
      </c>
      <c r="H298" t="s">
        <v>20</v>
      </c>
      <c r="I298">
        <v>800</v>
      </c>
      <c r="J298">
        <v>6.3</v>
      </c>
      <c r="K298">
        <v>6.5</v>
      </c>
      <c r="M298">
        <v>90</v>
      </c>
      <c r="N298">
        <v>13</v>
      </c>
      <c r="O298" t="s">
        <v>21</v>
      </c>
      <c r="P298" t="s">
        <v>87</v>
      </c>
    </row>
    <row r="299" spans="1:16">
      <c r="A299" t="s">
        <v>478</v>
      </c>
      <c r="B299" s="2" t="str">
        <f>Hyperlink("https://www.diodes.com/datasheet/download/D6V3H1U2LP4.pdf")</f>
        <v>https://www.diodes.com/datasheet/download/D6V3H1U2LP4.pdf</v>
      </c>
      <c r="C299" t="str">
        <f>Hyperlink("https://www.diodes.com/part/view/D6V3H1U2LP4","D6V3H1U2LP4")</f>
        <v>D6V3H1U2LP4</v>
      </c>
      <c r="D299" t="s">
        <v>17</v>
      </c>
      <c r="E299" t="s">
        <v>18</v>
      </c>
      <c r="F299" t="s">
        <v>19</v>
      </c>
      <c r="G299">
        <v>1</v>
      </c>
      <c r="H299" t="s">
        <v>20</v>
      </c>
      <c r="I299">
        <v>200</v>
      </c>
      <c r="J299">
        <v>6.3</v>
      </c>
      <c r="K299">
        <v>6.5</v>
      </c>
      <c r="L299">
        <v>0.1</v>
      </c>
      <c r="M299">
        <v>30</v>
      </c>
      <c r="N299">
        <v>12.5</v>
      </c>
      <c r="O299" t="s">
        <v>21</v>
      </c>
      <c r="P299" t="s">
        <v>34</v>
      </c>
    </row>
    <row r="300" spans="1:16">
      <c r="A300" t="s">
        <v>479</v>
      </c>
      <c r="B300" s="2" t="str">
        <f>Hyperlink("https://www.diodes.com/datasheet/download/D6V3H1U2LPQ.pdf")</f>
        <v>https://www.diodes.com/datasheet/download/D6V3H1U2LPQ.pdf</v>
      </c>
      <c r="C300" t="str">
        <f>Hyperlink("https://www.diodes.com/part/view/D6V3H1U2LPQ","D6V3H1U2LPQ")</f>
        <v>D6V3H1U2LPQ</v>
      </c>
      <c r="D300" t="s">
        <v>17</v>
      </c>
      <c r="E300" t="s">
        <v>32</v>
      </c>
      <c r="F300" t="s">
        <v>33</v>
      </c>
      <c r="G300">
        <v>1</v>
      </c>
      <c r="H300" t="s">
        <v>20</v>
      </c>
      <c r="I300">
        <v>200</v>
      </c>
      <c r="J300">
        <v>6.3</v>
      </c>
      <c r="K300">
        <v>6.5</v>
      </c>
      <c r="L300">
        <v>0.1</v>
      </c>
      <c r="M300">
        <v>30</v>
      </c>
      <c r="N300">
        <v>12.5</v>
      </c>
      <c r="O300" t="s">
        <v>21</v>
      </c>
      <c r="P300" t="s">
        <v>22</v>
      </c>
    </row>
    <row r="301" spans="1:16">
      <c r="A301" t="s">
        <v>480</v>
      </c>
      <c r="B301" s="2" t="str">
        <f>Hyperlink("https://www.diodes.com/datasheet/download/D6V3H1US2LP4.pdf")</f>
        <v>https://www.diodes.com/datasheet/download/D6V3H1US2LP4.pdf</v>
      </c>
      <c r="C301" t="str">
        <f>Hyperlink("https://www.diodes.com/part/view/D6V3H1US2LP4","D6V3H1US2LP4")</f>
        <v>D6V3H1US2LP4</v>
      </c>
      <c r="D301" t="s">
        <v>453</v>
      </c>
      <c r="E301" t="s">
        <v>18</v>
      </c>
      <c r="F301" t="s">
        <v>19</v>
      </c>
      <c r="G301">
        <v>1</v>
      </c>
      <c r="H301" t="s">
        <v>20</v>
      </c>
      <c r="I301">
        <v>130</v>
      </c>
      <c r="J301">
        <v>6.3</v>
      </c>
      <c r="K301">
        <v>6.4</v>
      </c>
      <c r="M301">
        <v>50</v>
      </c>
      <c r="O301" t="s">
        <v>21</v>
      </c>
      <c r="P301" t="s">
        <v>34</v>
      </c>
    </row>
    <row r="302" spans="1:16">
      <c r="A302" t="s">
        <v>481</v>
      </c>
      <c r="B302" s="2" t="str">
        <f>Hyperlink("https://www.diodes.com/datasheet/download/D6V3M1U2LP3.pdf")</f>
        <v>https://www.diodes.com/datasheet/download/D6V3M1U2LP3.pdf</v>
      </c>
      <c r="C302" t="str">
        <f>Hyperlink("https://www.diodes.com/part/view/D6V3M1U2LP3","D6V3M1U2LP3")</f>
        <v>D6V3M1U2LP3</v>
      </c>
      <c r="D302" t="s">
        <v>17</v>
      </c>
      <c r="E302" t="s">
        <v>18</v>
      </c>
      <c r="F302" t="s">
        <v>19</v>
      </c>
      <c r="G302">
        <v>1</v>
      </c>
      <c r="H302" t="s">
        <v>20</v>
      </c>
      <c r="I302">
        <v>60</v>
      </c>
      <c r="J302">
        <v>6.3</v>
      </c>
      <c r="K302">
        <v>6.5</v>
      </c>
      <c r="M302">
        <v>10</v>
      </c>
      <c r="N302">
        <v>12</v>
      </c>
      <c r="O302" t="s">
        <v>21</v>
      </c>
      <c r="P302" t="s">
        <v>100</v>
      </c>
    </row>
    <row r="303" spans="1:16">
      <c r="A303" t="s">
        <v>482</v>
      </c>
      <c r="B303" s="2" t="str">
        <f>Hyperlink("https://www.diodes.com/datasheet/download/D6V3S1U2LP.pdf")</f>
        <v>https://www.diodes.com/datasheet/download/D6V3S1U2LP.pdf</v>
      </c>
      <c r="C303" t="str">
        <f>Hyperlink("https://www.diodes.com/part/view/D6V3S1U2LP","D6V3S1U2LP")</f>
        <v>D6V3S1U2LP</v>
      </c>
      <c r="D303" t="s">
        <v>17</v>
      </c>
      <c r="E303" t="s">
        <v>18</v>
      </c>
      <c r="F303" t="s">
        <v>19</v>
      </c>
      <c r="G303">
        <v>1</v>
      </c>
      <c r="H303" t="s">
        <v>20</v>
      </c>
      <c r="I303">
        <v>255</v>
      </c>
      <c r="J303">
        <v>6.3</v>
      </c>
      <c r="K303">
        <v>6.5</v>
      </c>
      <c r="M303">
        <v>50</v>
      </c>
      <c r="O303" t="s">
        <v>21</v>
      </c>
      <c r="P303" t="s">
        <v>22</v>
      </c>
    </row>
    <row r="304" spans="1:16">
      <c r="A304" t="s">
        <v>483</v>
      </c>
      <c r="B304" s="2" t="str">
        <f>Hyperlink("https://www.diodes.com/datasheet/download/D7V0H1U2LP.pdf")</f>
        <v>https://www.diodes.com/datasheet/download/D7V0H1U2LP.pdf</v>
      </c>
      <c r="C304" t="str">
        <f>Hyperlink("https://www.diodes.com/part/view/D7V0H1U2LP","D7V0H1U2LP")</f>
        <v>D7V0H1U2LP</v>
      </c>
      <c r="D304" t="s">
        <v>17</v>
      </c>
      <c r="E304" t="s">
        <v>18</v>
      </c>
      <c r="F304" t="s">
        <v>19</v>
      </c>
      <c r="G304">
        <v>1</v>
      </c>
      <c r="H304" t="s">
        <v>20</v>
      </c>
      <c r="I304">
        <v>150</v>
      </c>
      <c r="J304">
        <v>7</v>
      </c>
      <c r="K304">
        <v>7.5</v>
      </c>
      <c r="L304">
        <v>0.1</v>
      </c>
      <c r="M304">
        <v>24</v>
      </c>
      <c r="N304">
        <v>14.4</v>
      </c>
      <c r="O304" t="s">
        <v>21</v>
      </c>
      <c r="P304" t="s">
        <v>22</v>
      </c>
    </row>
    <row r="305" spans="1:16">
      <c r="A305" t="s">
        <v>484</v>
      </c>
      <c r="B305" s="2" t="str">
        <f>Hyperlink("https://www.diodes.com/datasheet/download/D7V0H1U2LPQ.pdf")</f>
        <v>https://www.diodes.com/datasheet/download/D7V0H1U2LPQ.pdf</v>
      </c>
      <c r="C305" t="str">
        <f>Hyperlink("https://www.diodes.com/part/view/D7V0H1U2LPQ","D7V0H1U2LPQ")</f>
        <v>D7V0H1U2LPQ</v>
      </c>
      <c r="D305" t="s">
        <v>485</v>
      </c>
      <c r="E305" t="s">
        <v>32</v>
      </c>
      <c r="F305" t="s">
        <v>33</v>
      </c>
      <c r="G305">
        <v>1</v>
      </c>
      <c r="H305" t="s">
        <v>20</v>
      </c>
      <c r="I305">
        <v>150</v>
      </c>
      <c r="J305">
        <v>7</v>
      </c>
      <c r="K305">
        <v>7.5</v>
      </c>
      <c r="L305">
        <v>0.1</v>
      </c>
      <c r="M305">
        <v>24</v>
      </c>
      <c r="N305">
        <v>14.4</v>
      </c>
      <c r="O305" t="s">
        <v>21</v>
      </c>
      <c r="P305" t="s">
        <v>22</v>
      </c>
    </row>
    <row r="306" spans="1:16">
      <c r="A306" t="s">
        <v>486</v>
      </c>
      <c r="B306" s="2" t="str">
        <f>Hyperlink("https://www.diodes.com/datasheet/download/D7V0M1U2LP3.pdf")</f>
        <v>https://www.diodes.com/datasheet/download/D7V0M1U2LP3.pdf</v>
      </c>
      <c r="C306" t="str">
        <f>Hyperlink("https://www.diodes.com/part/view/D7V0M1U2LP3","D7V0M1U2LP3")</f>
        <v>D7V0M1U2LP3</v>
      </c>
      <c r="D306" t="s">
        <v>99</v>
      </c>
      <c r="E306" t="s">
        <v>18</v>
      </c>
      <c r="F306" t="s">
        <v>19</v>
      </c>
      <c r="G306">
        <v>1</v>
      </c>
      <c r="H306" t="s">
        <v>20</v>
      </c>
      <c r="I306">
        <v>45</v>
      </c>
      <c r="J306">
        <v>7</v>
      </c>
      <c r="K306">
        <v>7.5</v>
      </c>
      <c r="M306">
        <v>7.5</v>
      </c>
      <c r="N306">
        <v>13</v>
      </c>
      <c r="O306" t="s">
        <v>21</v>
      </c>
      <c r="P306" t="s">
        <v>100</v>
      </c>
    </row>
    <row r="307" spans="1:16">
      <c r="A307" t="s">
        <v>487</v>
      </c>
      <c r="B307" s="2" t="str">
        <f>Hyperlink("https://www.diodes.com/datasheet/download/D7V0M1U2S9.pdf")</f>
        <v>https://www.diodes.com/datasheet/download/D7V0M1U2S9.pdf</v>
      </c>
      <c r="C307" t="str">
        <f>Hyperlink("https://www.diodes.com/part/view/D7V0M1U2S9","D7V0M1U2S9")</f>
        <v>D7V0M1U2S9</v>
      </c>
      <c r="D307" t="s">
        <v>488</v>
      </c>
      <c r="E307" t="s">
        <v>18</v>
      </c>
      <c r="F307" t="s">
        <v>19</v>
      </c>
      <c r="G307">
        <v>1</v>
      </c>
      <c r="H307" t="s">
        <v>20</v>
      </c>
      <c r="I307">
        <v>45</v>
      </c>
      <c r="J307">
        <v>7</v>
      </c>
      <c r="K307">
        <v>7.5</v>
      </c>
      <c r="M307">
        <v>7</v>
      </c>
      <c r="N307">
        <v>13</v>
      </c>
      <c r="O307" t="s">
        <v>21</v>
      </c>
      <c r="P307" t="s">
        <v>102</v>
      </c>
    </row>
    <row r="308" spans="1:16">
      <c r="A308" t="s">
        <v>489</v>
      </c>
      <c r="B308" s="2" t="str">
        <f>Hyperlink("https://www.diodes.com/datasheet/download/D7V0M1U2S9Q.pdf")</f>
        <v>https://www.diodes.com/datasheet/download/D7V0M1U2S9Q.pdf</v>
      </c>
      <c r="C308" t="str">
        <f>Hyperlink("https://www.diodes.com/part/view/D7V0M1U2S9Q","D7V0M1U2S9Q")</f>
        <v>D7V0M1U2S9Q</v>
      </c>
      <c r="D308" t="s">
        <v>490</v>
      </c>
      <c r="E308" t="s">
        <v>32</v>
      </c>
      <c r="F308" t="s">
        <v>33</v>
      </c>
      <c r="G308">
        <v>1</v>
      </c>
      <c r="H308" t="s">
        <v>20</v>
      </c>
      <c r="I308">
        <v>45</v>
      </c>
      <c r="J308">
        <v>7</v>
      </c>
      <c r="K308">
        <v>7.5</v>
      </c>
      <c r="M308">
        <v>7</v>
      </c>
      <c r="N308">
        <v>13</v>
      </c>
      <c r="O308" t="s">
        <v>21</v>
      </c>
      <c r="P308" t="s">
        <v>102</v>
      </c>
    </row>
    <row r="309" spans="1:16">
      <c r="A309" t="s">
        <v>491</v>
      </c>
      <c r="B309" s="2" t="str">
        <f>Hyperlink("https://www.diodes.com/datasheet/download/D7V0S1U2WS.pdf")</f>
        <v>https://www.diodes.com/datasheet/download/D7V0S1U2WS.pdf</v>
      </c>
      <c r="C309" t="str">
        <f>Hyperlink("https://www.diodes.com/part/view/D7V0S1U2WS","D7V0S1U2WS")</f>
        <v>D7V0S1U2WS</v>
      </c>
      <c r="D309" t="s">
        <v>99</v>
      </c>
      <c r="E309" t="s">
        <v>18</v>
      </c>
      <c r="F309" t="s">
        <v>19</v>
      </c>
      <c r="G309">
        <v>1</v>
      </c>
      <c r="H309" t="s">
        <v>20</v>
      </c>
      <c r="I309">
        <v>750</v>
      </c>
      <c r="J309">
        <v>7</v>
      </c>
      <c r="K309">
        <v>7.5</v>
      </c>
      <c r="M309">
        <v>90</v>
      </c>
      <c r="N309">
        <v>15.5</v>
      </c>
      <c r="O309" t="s">
        <v>21</v>
      </c>
      <c r="P309" t="s">
        <v>51</v>
      </c>
    </row>
    <row r="310" spans="1:16">
      <c r="A310" t="s">
        <v>492</v>
      </c>
      <c r="B310" s="2" t="str">
        <f>Hyperlink("https://www.diodes.com/datasheet/download/D7V0X1B2LP3.pdf")</f>
        <v>https://www.diodes.com/datasheet/download/D7V0X1B2LP3.pdf</v>
      </c>
      <c r="C310" t="str">
        <f>Hyperlink("https://www.diodes.com/part/view/D7V0X1B2LP3","D7V0X1B2LP3")</f>
        <v>D7V0X1B2LP3</v>
      </c>
      <c r="D310" t="s">
        <v>455</v>
      </c>
      <c r="E310" t="s">
        <v>18</v>
      </c>
      <c r="F310" t="s">
        <v>19</v>
      </c>
      <c r="G310">
        <v>1</v>
      </c>
      <c r="H310" t="s">
        <v>28</v>
      </c>
      <c r="I310">
        <v>0.3</v>
      </c>
      <c r="J310">
        <v>7</v>
      </c>
      <c r="K310">
        <v>8</v>
      </c>
      <c r="M310">
        <v>1.5</v>
      </c>
      <c r="O310" t="s">
        <v>154</v>
      </c>
      <c r="P310" t="s">
        <v>175</v>
      </c>
    </row>
    <row r="311" spans="1:16">
      <c r="A311" t="s">
        <v>493</v>
      </c>
      <c r="B311" s="2" t="str">
        <f>Hyperlink("https://www.diodes.com/datasheet/download/D7V5S1U3LP20-D48V0S1U3LP20.pdf")</f>
        <v>https://www.diodes.com/datasheet/download/D7V5S1U3LP20-D48V0S1U3LP20.pdf</v>
      </c>
      <c r="C311" t="str">
        <f>Hyperlink("https://www.diodes.com/part/view/D7V5S1U3LP20","D7V5S1U3LP20")</f>
        <v>D7V5S1U3LP20</v>
      </c>
      <c r="D311" t="s">
        <v>24</v>
      </c>
      <c r="E311" t="s">
        <v>18</v>
      </c>
      <c r="F311" t="s">
        <v>19</v>
      </c>
      <c r="G311">
        <v>1</v>
      </c>
      <c r="H311" t="s">
        <v>20</v>
      </c>
      <c r="I311">
        <v>2235</v>
      </c>
      <c r="J311">
        <v>7.5</v>
      </c>
      <c r="K311">
        <v>8.33</v>
      </c>
      <c r="M311">
        <v>250</v>
      </c>
      <c r="N311">
        <v>18.5</v>
      </c>
      <c r="O311" t="s">
        <v>21</v>
      </c>
      <c r="P311" t="s">
        <v>25</v>
      </c>
    </row>
    <row r="312" spans="1:16">
      <c r="A312" t="s">
        <v>494</v>
      </c>
      <c r="B312" s="2" t="str">
        <f>Hyperlink("https://www.diodes.com/datasheet/download/D7V9H1U2LP1610.pdf")</f>
        <v>https://www.diodes.com/datasheet/download/D7V9H1U2LP1610.pdf</v>
      </c>
      <c r="C312" t="str">
        <f>Hyperlink("https://www.diodes.com/part/view/D7V9H1U2LP1610","D7V9H1U2LP1610")</f>
        <v>D7V9H1U2LP1610</v>
      </c>
      <c r="D312" t="s">
        <v>495</v>
      </c>
      <c r="E312" t="s">
        <v>18</v>
      </c>
      <c r="F312" t="s">
        <v>19</v>
      </c>
      <c r="G312">
        <v>1</v>
      </c>
      <c r="H312" t="s">
        <v>20</v>
      </c>
      <c r="I312">
        <v>700</v>
      </c>
      <c r="J312">
        <v>7.9</v>
      </c>
      <c r="K312">
        <v>8.2</v>
      </c>
      <c r="M312">
        <v>13.5</v>
      </c>
      <c r="N312">
        <v>13.5</v>
      </c>
      <c r="O312" t="s">
        <v>21</v>
      </c>
      <c r="P312" t="s">
        <v>87</v>
      </c>
    </row>
    <row r="313" spans="1:16">
      <c r="A313" t="s">
        <v>496</v>
      </c>
      <c r="B313" s="2" t="str">
        <f>Hyperlink("https://www.diodes.com/datasheet/download/D7V9H1U2LP1610Q.pdf")</f>
        <v>https://www.diodes.com/datasheet/download/D7V9H1U2LP1610Q.pdf</v>
      </c>
      <c r="C313" t="str">
        <f>Hyperlink("https://www.diodes.com/part/view/D7V9H1U2LP1610Q","D7V9H1U2LP1610Q")</f>
        <v>D7V9H1U2LP1610Q</v>
      </c>
      <c r="D313" t="s">
        <v>497</v>
      </c>
      <c r="E313" t="s">
        <v>32</v>
      </c>
      <c r="F313" t="s">
        <v>33</v>
      </c>
      <c r="G313">
        <v>1</v>
      </c>
      <c r="H313" t="s">
        <v>20</v>
      </c>
      <c r="I313">
        <v>700</v>
      </c>
      <c r="J313">
        <v>7.9</v>
      </c>
      <c r="K313">
        <v>8.2</v>
      </c>
      <c r="M313">
        <v>100</v>
      </c>
      <c r="N313">
        <v>13.5</v>
      </c>
      <c r="O313" t="s">
        <v>21</v>
      </c>
      <c r="P313" t="s">
        <v>87</v>
      </c>
    </row>
    <row r="314" spans="1:16">
      <c r="A314" t="s">
        <v>498</v>
      </c>
      <c r="B314" s="2" t="str">
        <f>Hyperlink("https://www.diodes.com/datasheet/download/D7V9S1U2LP.pdf")</f>
        <v>https://www.diodes.com/datasheet/download/D7V9S1U2LP.pdf</v>
      </c>
      <c r="C314" t="str">
        <f>Hyperlink("https://www.diodes.com/part/view/D7V9S1U2LP","D7V9S1U2LP")</f>
        <v>D7V9S1U2LP</v>
      </c>
      <c r="D314" t="s">
        <v>17</v>
      </c>
      <c r="E314" t="s">
        <v>18</v>
      </c>
      <c r="F314" t="s">
        <v>19</v>
      </c>
      <c r="G314">
        <v>1</v>
      </c>
      <c r="H314" t="s">
        <v>20</v>
      </c>
      <c r="I314">
        <v>200</v>
      </c>
      <c r="J314">
        <v>7.9</v>
      </c>
      <c r="K314">
        <v>8</v>
      </c>
      <c r="M314">
        <v>40</v>
      </c>
      <c r="N314">
        <v>13</v>
      </c>
      <c r="O314" t="s">
        <v>21</v>
      </c>
      <c r="P314" t="s">
        <v>287</v>
      </c>
    </row>
    <row r="315" spans="1:16">
      <c r="A315" t="s">
        <v>499</v>
      </c>
      <c r="B315" s="2" t="str">
        <f>Hyperlink("https://www.diodes.com/datasheet/download/D8V0H1B2LP.pdf")</f>
        <v>https://www.diodes.com/datasheet/download/D8V0H1B2LP.pdf</v>
      </c>
      <c r="C315" t="str">
        <f>Hyperlink("https://www.diodes.com/part/view/D8V0H1B2LP","D8V0H1B2LP")</f>
        <v>D8V0H1B2LP</v>
      </c>
      <c r="D315" t="s">
        <v>116</v>
      </c>
      <c r="E315" t="s">
        <v>18</v>
      </c>
      <c r="F315" t="s">
        <v>19</v>
      </c>
      <c r="G315">
        <v>1</v>
      </c>
      <c r="H315" t="s">
        <v>28</v>
      </c>
      <c r="I315">
        <v>55</v>
      </c>
      <c r="J315">
        <v>8</v>
      </c>
      <c r="K315">
        <v>8.5</v>
      </c>
      <c r="M315">
        <v>20</v>
      </c>
      <c r="N315">
        <v>17.5</v>
      </c>
      <c r="O315" t="s">
        <v>21</v>
      </c>
      <c r="P315" t="s">
        <v>22</v>
      </c>
    </row>
    <row r="316" spans="1:16">
      <c r="A316" t="s">
        <v>500</v>
      </c>
      <c r="B316" s="2" t="str">
        <f>Hyperlink("https://www.diodes.com/datasheet/download/D8V0H1B2LPQ.pdf")</f>
        <v>https://www.diodes.com/datasheet/download/D8V0H1B2LPQ.pdf</v>
      </c>
      <c r="C316" t="str">
        <f>Hyperlink("https://www.diodes.com/part/view/D8V0H1B2LPQ","D8V0H1B2LPQ")</f>
        <v>D8V0H1B2LPQ</v>
      </c>
      <c r="D316" t="s">
        <v>116</v>
      </c>
      <c r="E316" t="s">
        <v>32</v>
      </c>
      <c r="F316" t="s">
        <v>33</v>
      </c>
      <c r="G316">
        <v>1</v>
      </c>
      <c r="H316" t="s">
        <v>28</v>
      </c>
      <c r="I316">
        <v>55</v>
      </c>
      <c r="J316">
        <v>8</v>
      </c>
      <c r="K316">
        <v>8.5</v>
      </c>
      <c r="M316">
        <v>19</v>
      </c>
      <c r="N316">
        <v>20</v>
      </c>
      <c r="O316" t="s">
        <v>21</v>
      </c>
      <c r="P316" t="s">
        <v>22</v>
      </c>
    </row>
    <row r="317" spans="1:16">
      <c r="A317" t="s">
        <v>501</v>
      </c>
      <c r="B317" s="2" t="str">
        <f>Hyperlink("https://www.diodes.com/datasheet/download/D8V0H1U2LP1610.pdf")</f>
        <v>https://www.diodes.com/datasheet/download/D8V0H1U2LP1610.pdf</v>
      </c>
      <c r="C317" t="str">
        <f>Hyperlink("https://www.diodes.com/part/view/D8V0H1U2LP1610","D8V0H1U2LP1610")</f>
        <v>D8V0H1U2LP1610</v>
      </c>
      <c r="D317" t="s">
        <v>502</v>
      </c>
      <c r="E317" t="s">
        <v>18</v>
      </c>
      <c r="F317" t="s">
        <v>19</v>
      </c>
      <c r="G317">
        <v>1</v>
      </c>
      <c r="H317" t="s">
        <v>20</v>
      </c>
      <c r="I317">
        <v>700</v>
      </c>
      <c r="J317">
        <v>8</v>
      </c>
      <c r="K317">
        <v>8.2</v>
      </c>
      <c r="M317">
        <v>100</v>
      </c>
      <c r="N317">
        <v>13.5</v>
      </c>
      <c r="O317" t="s">
        <v>21</v>
      </c>
      <c r="P317" t="s">
        <v>87</v>
      </c>
    </row>
    <row r="318" spans="1:16">
      <c r="A318" t="s">
        <v>503</v>
      </c>
      <c r="B318" s="2" t="str">
        <f>Hyperlink("https://www.diodes.com/datasheet/download/D8V0L1B2LP.pdf")</f>
        <v>https://www.diodes.com/datasheet/download/D8V0L1B2LP.pdf</v>
      </c>
      <c r="C318" t="str">
        <f>Hyperlink("https://www.diodes.com/part/view/D8V0L1B2LP","D8V0L1B2LP")</f>
        <v>D8V0L1B2LP</v>
      </c>
      <c r="D318" t="s">
        <v>387</v>
      </c>
      <c r="E318" t="s">
        <v>18</v>
      </c>
      <c r="F318" t="s">
        <v>19</v>
      </c>
      <c r="G318">
        <v>1</v>
      </c>
      <c r="H318" t="s">
        <v>28</v>
      </c>
      <c r="I318">
        <v>8.5</v>
      </c>
      <c r="J318">
        <v>8</v>
      </c>
      <c r="K318">
        <v>8.5</v>
      </c>
      <c r="M318">
        <v>4</v>
      </c>
      <c r="N318">
        <v>17</v>
      </c>
      <c r="O318" t="s">
        <v>54</v>
      </c>
      <c r="P318" t="s">
        <v>22</v>
      </c>
    </row>
    <row r="319" spans="1:16">
      <c r="A319" t="s">
        <v>504</v>
      </c>
      <c r="B319" s="2" t="str">
        <f>Hyperlink("https://www.diodes.com/datasheet/download/D8V0L1B2LP3.pdf")</f>
        <v>https://www.diodes.com/datasheet/download/D8V0L1B2LP3.pdf</v>
      </c>
      <c r="C319" t="str">
        <f>Hyperlink("https://www.diodes.com/part/view/D8V0L1B2LP3","D8V0L1B2LP3")</f>
        <v>D8V0L1B2LP3</v>
      </c>
      <c r="D319" t="s">
        <v>387</v>
      </c>
      <c r="E319" t="s">
        <v>18</v>
      </c>
      <c r="F319" t="s">
        <v>19</v>
      </c>
      <c r="G319">
        <v>1</v>
      </c>
      <c r="H319" t="s">
        <v>28</v>
      </c>
      <c r="I319">
        <v>8.5</v>
      </c>
      <c r="J319">
        <v>8</v>
      </c>
      <c r="K319">
        <v>8.5</v>
      </c>
      <c r="M319">
        <v>4</v>
      </c>
      <c r="N319">
        <v>16.5</v>
      </c>
      <c r="O319" t="s">
        <v>54</v>
      </c>
      <c r="P319" t="s">
        <v>100</v>
      </c>
    </row>
    <row r="320" spans="1:16">
      <c r="A320" t="s">
        <v>505</v>
      </c>
      <c r="B320" s="2" t="str">
        <f>Hyperlink("https://www.diodes.com/datasheet/download/D8V0L1B2LP3Q.pdf")</f>
        <v>https://www.diodes.com/datasheet/download/D8V0L1B2LP3Q.pdf</v>
      </c>
      <c r="C320" t="str">
        <f>Hyperlink("https://www.diodes.com/part/view/D8V0L1B2LP3Q","D8V0L1B2LP3Q")</f>
        <v>D8V0L1B2LP3Q</v>
      </c>
      <c r="D320" t="s">
        <v>116</v>
      </c>
      <c r="E320" t="s">
        <v>32</v>
      </c>
      <c r="F320" t="s">
        <v>33</v>
      </c>
      <c r="G320">
        <v>1</v>
      </c>
      <c r="H320" t="s">
        <v>28</v>
      </c>
      <c r="I320">
        <v>8.5</v>
      </c>
      <c r="J320">
        <v>8</v>
      </c>
      <c r="K320">
        <v>8.5</v>
      </c>
      <c r="M320">
        <v>3.5</v>
      </c>
      <c r="N320">
        <v>16.5</v>
      </c>
      <c r="O320" t="s">
        <v>54</v>
      </c>
      <c r="P320" t="s">
        <v>100</v>
      </c>
    </row>
    <row r="321" spans="1:16">
      <c r="A321" t="s">
        <v>506</v>
      </c>
      <c r="B321" s="2" t="str">
        <f>Hyperlink("https://www.diodes.com/datasheet/download/D8V0L1B2LPQ.pdf")</f>
        <v>https://www.diodes.com/datasheet/download/D8V0L1B2LPQ.pdf</v>
      </c>
      <c r="C321" t="str">
        <f>Hyperlink("https://www.diodes.com/part/view/D8V0L1B2LPQ","D8V0L1B2LPQ")</f>
        <v>D8V0L1B2LPQ</v>
      </c>
      <c r="D321" t="s">
        <v>116</v>
      </c>
      <c r="E321" t="s">
        <v>32</v>
      </c>
      <c r="F321" t="s">
        <v>33</v>
      </c>
      <c r="G321">
        <v>1</v>
      </c>
      <c r="H321" t="s">
        <v>28</v>
      </c>
      <c r="I321">
        <v>8.5</v>
      </c>
      <c r="J321">
        <v>8</v>
      </c>
      <c r="K321">
        <v>8.5</v>
      </c>
      <c r="M321">
        <v>4</v>
      </c>
      <c r="N321">
        <v>17</v>
      </c>
      <c r="O321" t="s">
        <v>54</v>
      </c>
      <c r="P321" t="s">
        <v>22</v>
      </c>
    </row>
    <row r="322" spans="1:16">
      <c r="A322" t="s">
        <v>507</v>
      </c>
      <c r="B322" s="2" t="str">
        <f>Hyperlink("https://www.diodes.com/datasheet/download/D8V0X1B2LP.pdf")</f>
        <v>https://www.diodes.com/datasheet/download/D8V0X1B2LP.pdf</v>
      </c>
      <c r="C322" t="str">
        <f>Hyperlink("https://www.diodes.com/part/view/D8V0X1B2LP","D8V0X1B2LP")</f>
        <v>D8V0X1B2LP</v>
      </c>
      <c r="D322" t="s">
        <v>455</v>
      </c>
      <c r="E322" t="s">
        <v>18</v>
      </c>
      <c r="F322" t="s">
        <v>19</v>
      </c>
      <c r="G322">
        <v>1</v>
      </c>
      <c r="H322" t="s">
        <v>28</v>
      </c>
      <c r="I322">
        <v>0.5</v>
      </c>
      <c r="J322">
        <v>8</v>
      </c>
      <c r="K322">
        <v>9.5</v>
      </c>
      <c r="M322">
        <v>4</v>
      </c>
      <c r="N322">
        <v>18.5</v>
      </c>
      <c r="O322" t="s">
        <v>29</v>
      </c>
      <c r="P322" t="s">
        <v>22</v>
      </c>
    </row>
    <row r="323" spans="1:16">
      <c r="A323" t="s">
        <v>508</v>
      </c>
      <c r="B323" s="2" t="str">
        <f>Hyperlink("https://www.diodes.com/datasheet/download/DS43178.pdf")</f>
        <v>https://www.diodes.com/datasheet/download/DS43178.pdf</v>
      </c>
      <c r="C323" t="str">
        <f>Hyperlink("https://www.diodes.com/part/view/D8V0X1B2LP4Q","D8V0X1B2LP4Q")</f>
        <v>D8V0X1B2LP4Q</v>
      </c>
      <c r="D323" t="s">
        <v>31</v>
      </c>
      <c r="E323" t="s">
        <v>32</v>
      </c>
      <c r="F323" t="s">
        <v>33</v>
      </c>
      <c r="G323">
        <v>1</v>
      </c>
      <c r="H323" t="s">
        <v>28</v>
      </c>
      <c r="I323">
        <v>0.5</v>
      </c>
      <c r="J323">
        <v>8</v>
      </c>
      <c r="K323">
        <v>9.5</v>
      </c>
      <c r="M323">
        <v>4</v>
      </c>
      <c r="N323">
        <v>18.5</v>
      </c>
      <c r="O323" t="s">
        <v>29</v>
      </c>
      <c r="P323" t="s">
        <v>34</v>
      </c>
    </row>
    <row r="324" spans="1:16">
      <c r="A324" t="s">
        <v>509</v>
      </c>
      <c r="B324" s="2" t="str">
        <f>Hyperlink("https://www.diodes.com/datasheet/download/D8V0X1B2LPQ.pdf")</f>
        <v>https://www.diodes.com/datasheet/download/D8V0X1B2LPQ.pdf</v>
      </c>
      <c r="C324" t="str">
        <f>Hyperlink("https://www.diodes.com/part/view/D8V0X1B2LPQ","D8V0X1B2LPQ")</f>
        <v>D8V0X1B2LPQ</v>
      </c>
      <c r="D324" t="s">
        <v>163</v>
      </c>
      <c r="E324" t="s">
        <v>32</v>
      </c>
      <c r="F324" t="s">
        <v>33</v>
      </c>
      <c r="G324">
        <v>1</v>
      </c>
      <c r="H324" t="s">
        <v>28</v>
      </c>
      <c r="I324">
        <v>0.5</v>
      </c>
      <c r="J324">
        <v>8</v>
      </c>
      <c r="K324">
        <v>9.5</v>
      </c>
      <c r="M324">
        <v>4</v>
      </c>
      <c r="N324">
        <v>18.5</v>
      </c>
      <c r="O324" t="s">
        <v>54</v>
      </c>
      <c r="P324" t="s">
        <v>22</v>
      </c>
    </row>
    <row r="325" spans="1:16">
      <c r="A325" t="s">
        <v>510</v>
      </c>
      <c r="B325" s="2" t="str">
        <f>Hyperlink("https://www.diodes.com/datasheet/download/DBLC03CI.pdf")</f>
        <v>https://www.diodes.com/datasheet/download/DBLC03CI.pdf</v>
      </c>
      <c r="C325" t="str">
        <f>Hyperlink("https://www.diodes.com/part/view/DBLC03CI","DBLC03CI")</f>
        <v>DBLC03CI</v>
      </c>
      <c r="D325" t="s">
        <v>354</v>
      </c>
      <c r="E325" t="s">
        <v>18</v>
      </c>
      <c r="F325" t="s">
        <v>19</v>
      </c>
      <c r="G325">
        <v>1</v>
      </c>
      <c r="H325" t="s">
        <v>28</v>
      </c>
      <c r="I325">
        <v>0.7</v>
      </c>
      <c r="J325">
        <v>3.3</v>
      </c>
      <c r="K325">
        <v>4</v>
      </c>
      <c r="M325">
        <v>19</v>
      </c>
      <c r="N325">
        <v>18.5</v>
      </c>
      <c r="O325" t="s">
        <v>312</v>
      </c>
      <c r="P325" t="s">
        <v>51</v>
      </c>
    </row>
    <row r="326" spans="1:16">
      <c r="A326" t="s">
        <v>511</v>
      </c>
      <c r="B326" s="2" t="str">
        <f>Hyperlink("https://www.diodes.com/datasheet/download/DBLC03CIQ.pdf")</f>
        <v>https://www.diodes.com/datasheet/download/DBLC03CIQ.pdf</v>
      </c>
      <c r="C326" t="str">
        <f>Hyperlink("https://www.diodes.com/part/view/DBLC03CIQ","DBLC03CIQ")</f>
        <v>DBLC03CIQ</v>
      </c>
      <c r="D326" t="s">
        <v>354</v>
      </c>
      <c r="E326" t="s">
        <v>32</v>
      </c>
      <c r="F326" t="s">
        <v>33</v>
      </c>
      <c r="G326">
        <v>1</v>
      </c>
      <c r="H326" t="s">
        <v>28</v>
      </c>
      <c r="I326">
        <v>0.7</v>
      </c>
      <c r="J326">
        <v>3.3</v>
      </c>
      <c r="K326">
        <v>4</v>
      </c>
      <c r="M326">
        <v>19</v>
      </c>
      <c r="N326">
        <v>18.5</v>
      </c>
      <c r="O326" t="s">
        <v>21</v>
      </c>
      <c r="P326" t="s">
        <v>51</v>
      </c>
    </row>
    <row r="327" spans="1:16">
      <c r="A327" t="s">
        <v>512</v>
      </c>
      <c r="B327" s="2" t="str">
        <f>Hyperlink("https://www.diodes.com/datasheet/download/DBLC05CI.pdf")</f>
        <v>https://www.diodes.com/datasheet/download/DBLC05CI.pdf</v>
      </c>
      <c r="C327" t="str">
        <f>Hyperlink("https://www.diodes.com/part/view/DBLC05CI","DBLC05CI")</f>
        <v>DBLC05CI</v>
      </c>
      <c r="D327" t="s">
        <v>354</v>
      </c>
      <c r="E327" t="s">
        <v>18</v>
      </c>
      <c r="F327" t="s">
        <v>19</v>
      </c>
      <c r="G327">
        <v>1</v>
      </c>
      <c r="H327" t="s">
        <v>28</v>
      </c>
      <c r="I327">
        <v>0.6</v>
      </c>
      <c r="J327">
        <v>5</v>
      </c>
      <c r="K327">
        <v>6</v>
      </c>
      <c r="M327">
        <v>17</v>
      </c>
      <c r="N327">
        <v>20.6</v>
      </c>
      <c r="O327" t="s">
        <v>312</v>
      </c>
      <c r="P327" t="s">
        <v>51</v>
      </c>
    </row>
    <row r="328" spans="1:16">
      <c r="A328" t="s">
        <v>513</v>
      </c>
      <c r="B328" s="2" t="str">
        <f>Hyperlink("https://www.diodes.com/datasheet/download/DBLC05CIQ.pdf")</f>
        <v>https://www.diodes.com/datasheet/download/DBLC05CIQ.pdf</v>
      </c>
      <c r="C328" t="str">
        <f>Hyperlink("https://www.diodes.com/part/view/DBLC05CIQ","DBLC05CIQ")</f>
        <v>DBLC05CIQ</v>
      </c>
      <c r="D328" t="s">
        <v>354</v>
      </c>
      <c r="E328" t="s">
        <v>32</v>
      </c>
      <c r="F328" t="s">
        <v>33</v>
      </c>
      <c r="G328">
        <v>1</v>
      </c>
      <c r="H328" t="s">
        <v>28</v>
      </c>
      <c r="I328">
        <v>0.6</v>
      </c>
      <c r="J328">
        <v>5</v>
      </c>
      <c r="K328">
        <v>6</v>
      </c>
      <c r="M328">
        <v>17</v>
      </c>
      <c r="N328">
        <v>20.6</v>
      </c>
      <c r="O328" t="s">
        <v>21</v>
      </c>
      <c r="P328" t="s">
        <v>51</v>
      </c>
    </row>
    <row r="329" spans="1:16">
      <c r="A329" t="s">
        <v>514</v>
      </c>
      <c r="B329" s="2" t="str">
        <f>Hyperlink("https://www.diodes.com/datasheet/download/DBLC05IQ.pdf")</f>
        <v>https://www.diodes.com/datasheet/download/DBLC05IQ.pdf</v>
      </c>
      <c r="C329" t="str">
        <f>Hyperlink("https://www.diodes.com/part/view/DBLC05IQ","DBLC05IQ")</f>
        <v>DBLC05IQ</v>
      </c>
      <c r="D329" t="s">
        <v>515</v>
      </c>
      <c r="E329" t="s">
        <v>32</v>
      </c>
      <c r="F329" t="s">
        <v>33</v>
      </c>
      <c r="G329">
        <v>1</v>
      </c>
      <c r="H329" t="s">
        <v>20</v>
      </c>
      <c r="I329">
        <v>1.2</v>
      </c>
      <c r="J329">
        <v>5</v>
      </c>
      <c r="K329">
        <v>6</v>
      </c>
      <c r="M329">
        <v>25</v>
      </c>
      <c r="N329">
        <v>27</v>
      </c>
      <c r="O329" t="s">
        <v>21</v>
      </c>
      <c r="P329" t="s">
        <v>51</v>
      </c>
    </row>
    <row r="330" spans="1:16">
      <c r="A330" t="s">
        <v>516</v>
      </c>
      <c r="B330" s="2" t="str">
        <f>Hyperlink("https://www.diodes.com/datasheet/download/DBLC08CI.pdf")</f>
        <v>https://www.diodes.com/datasheet/download/DBLC08CI.pdf</v>
      </c>
      <c r="C330" t="str">
        <f>Hyperlink("https://www.diodes.com/part/view/DBLC08CI","DBLC08CI")</f>
        <v>DBLC08CI</v>
      </c>
      <c r="D330" t="s">
        <v>354</v>
      </c>
      <c r="E330" t="s">
        <v>18</v>
      </c>
      <c r="F330" t="s">
        <v>19</v>
      </c>
      <c r="G330">
        <v>1</v>
      </c>
      <c r="H330" t="s">
        <v>28</v>
      </c>
      <c r="I330">
        <v>0.6</v>
      </c>
      <c r="J330">
        <v>8</v>
      </c>
      <c r="K330">
        <v>8.5</v>
      </c>
      <c r="M330">
        <v>14</v>
      </c>
      <c r="N330">
        <v>25</v>
      </c>
      <c r="O330" t="s">
        <v>312</v>
      </c>
      <c r="P330" t="s">
        <v>51</v>
      </c>
    </row>
    <row r="331" spans="1:16">
      <c r="A331" t="s">
        <v>517</v>
      </c>
      <c r="B331" s="2" t="str">
        <f>Hyperlink("https://www.diodes.com/datasheet/download/DBLC08CIQ.pdf")</f>
        <v>https://www.diodes.com/datasheet/download/DBLC08CIQ.pdf</v>
      </c>
      <c r="C331" t="str">
        <f>Hyperlink("https://www.diodes.com/part/view/DBLC08CIQ","DBLC08CIQ")</f>
        <v>DBLC08CIQ</v>
      </c>
      <c r="D331" t="s">
        <v>354</v>
      </c>
      <c r="E331" t="s">
        <v>32</v>
      </c>
      <c r="F331" t="s">
        <v>33</v>
      </c>
      <c r="G331">
        <v>1</v>
      </c>
      <c r="H331" t="s">
        <v>28</v>
      </c>
      <c r="I331">
        <v>0.6</v>
      </c>
      <c r="J331">
        <v>8</v>
      </c>
      <c r="K331">
        <v>8.5</v>
      </c>
      <c r="M331">
        <v>14</v>
      </c>
      <c r="N331">
        <v>25</v>
      </c>
      <c r="O331" t="s">
        <v>21</v>
      </c>
      <c r="P331" t="s">
        <v>51</v>
      </c>
    </row>
    <row r="332" spans="1:16">
      <c r="A332" t="s">
        <v>518</v>
      </c>
      <c r="B332" s="2" t="str">
        <f>Hyperlink("https://www.diodes.com/datasheet/download/DBLC12CI.pdf")</f>
        <v>https://www.diodes.com/datasheet/download/DBLC12CI.pdf</v>
      </c>
      <c r="C332" t="str">
        <f>Hyperlink("https://www.diodes.com/part/view/DBLC12CI","DBLC12CI")</f>
        <v>DBLC12CI</v>
      </c>
      <c r="D332" t="s">
        <v>354</v>
      </c>
      <c r="E332" t="s">
        <v>18</v>
      </c>
      <c r="F332" t="s">
        <v>19</v>
      </c>
      <c r="G332">
        <v>1</v>
      </c>
      <c r="H332" t="s">
        <v>28</v>
      </c>
      <c r="I332">
        <v>0.6</v>
      </c>
      <c r="J332">
        <v>12</v>
      </c>
      <c r="K332">
        <v>13.3</v>
      </c>
      <c r="M332">
        <v>10</v>
      </c>
      <c r="N332">
        <v>35</v>
      </c>
      <c r="O332" t="s">
        <v>312</v>
      </c>
      <c r="P332" t="s">
        <v>51</v>
      </c>
    </row>
    <row r="333" spans="1:16">
      <c r="A333" t="s">
        <v>519</v>
      </c>
      <c r="B333" s="2" t="str">
        <f>Hyperlink("https://www.diodes.com/datasheet/download/DBLC12CIQ.pdf")</f>
        <v>https://www.diodes.com/datasheet/download/DBLC12CIQ.pdf</v>
      </c>
      <c r="C333" t="str">
        <f>Hyperlink("https://www.diodes.com/part/view/DBLC12CIQ","DBLC12CIQ")</f>
        <v>DBLC12CIQ</v>
      </c>
      <c r="D333" t="s">
        <v>354</v>
      </c>
      <c r="E333" t="s">
        <v>32</v>
      </c>
      <c r="F333" t="s">
        <v>33</v>
      </c>
      <c r="G333">
        <v>1</v>
      </c>
      <c r="H333" t="s">
        <v>28</v>
      </c>
      <c r="I333">
        <v>0.6</v>
      </c>
      <c r="J333">
        <v>12</v>
      </c>
      <c r="K333">
        <v>13.3</v>
      </c>
      <c r="M333">
        <v>10</v>
      </c>
      <c r="N333">
        <v>35</v>
      </c>
      <c r="O333" t="s">
        <v>21</v>
      </c>
      <c r="P333" t="s">
        <v>51</v>
      </c>
    </row>
    <row r="334" spans="1:16">
      <c r="A334" t="s">
        <v>520</v>
      </c>
      <c r="B334" s="2" t="str">
        <f>Hyperlink("https://www.diodes.com/datasheet/download/DBLC15CI.pdf")</f>
        <v>https://www.diodes.com/datasheet/download/DBLC15CI.pdf</v>
      </c>
      <c r="C334" t="str">
        <f>Hyperlink("https://www.diodes.com/part/view/DBLC15CI","DBLC15CI")</f>
        <v>DBLC15CI</v>
      </c>
      <c r="D334" t="s">
        <v>354</v>
      </c>
      <c r="E334" t="s">
        <v>18</v>
      </c>
      <c r="F334" t="s">
        <v>19</v>
      </c>
      <c r="G334">
        <v>1</v>
      </c>
      <c r="H334" t="s">
        <v>28</v>
      </c>
      <c r="I334">
        <v>0.6</v>
      </c>
      <c r="J334">
        <v>15</v>
      </c>
      <c r="K334">
        <v>16.7</v>
      </c>
      <c r="M334">
        <v>9.5</v>
      </c>
      <c r="N334">
        <v>36.8</v>
      </c>
      <c r="O334" t="s">
        <v>312</v>
      </c>
      <c r="P334" t="s">
        <v>51</v>
      </c>
    </row>
    <row r="335" spans="1:16">
      <c r="A335" t="s">
        <v>521</v>
      </c>
      <c r="B335" s="2" t="str">
        <f>Hyperlink("https://www.diodes.com/datasheet/download/DBLC15CIQ.pdf")</f>
        <v>https://www.diodes.com/datasheet/download/DBLC15CIQ.pdf</v>
      </c>
      <c r="C335" t="str">
        <f>Hyperlink("https://www.diodes.com/part/view/DBLC15CIQ","DBLC15CIQ")</f>
        <v>DBLC15CIQ</v>
      </c>
      <c r="D335" t="s">
        <v>354</v>
      </c>
      <c r="E335" t="s">
        <v>32</v>
      </c>
      <c r="F335" t="s">
        <v>33</v>
      </c>
      <c r="G335">
        <v>1</v>
      </c>
      <c r="H335" t="s">
        <v>28</v>
      </c>
      <c r="I335">
        <v>0.6</v>
      </c>
      <c r="J335">
        <v>15</v>
      </c>
      <c r="K335">
        <v>16.7</v>
      </c>
      <c r="M335">
        <v>9.5</v>
      </c>
      <c r="N335">
        <v>36.8</v>
      </c>
      <c r="O335" t="s">
        <v>21</v>
      </c>
      <c r="P335" t="s">
        <v>51</v>
      </c>
    </row>
    <row r="336" spans="1:16">
      <c r="A336" t="s">
        <v>522</v>
      </c>
      <c r="B336" s="2" t="str">
        <f>Hyperlink("https://www.diodes.com/datasheet/download/DBLC18CI.pdf")</f>
        <v>https://www.diodes.com/datasheet/download/DBLC18CI.pdf</v>
      </c>
      <c r="C336" t="str">
        <f>Hyperlink("https://www.diodes.com/part/view/DBLC18CI","DBLC18CI")</f>
        <v>DBLC18CI</v>
      </c>
      <c r="D336" t="s">
        <v>354</v>
      </c>
      <c r="E336" t="s">
        <v>18</v>
      </c>
      <c r="F336" t="s">
        <v>19</v>
      </c>
      <c r="G336">
        <v>1</v>
      </c>
      <c r="H336" t="s">
        <v>28</v>
      </c>
      <c r="I336">
        <v>0.6</v>
      </c>
      <c r="J336">
        <v>18</v>
      </c>
      <c r="K336">
        <v>20</v>
      </c>
      <c r="M336">
        <v>8</v>
      </c>
      <c r="N336">
        <v>44</v>
      </c>
      <c r="O336" t="s">
        <v>312</v>
      </c>
      <c r="P336" t="s">
        <v>51</v>
      </c>
    </row>
    <row r="337" spans="1:16">
      <c r="A337" t="s">
        <v>523</v>
      </c>
      <c r="B337" s="2" t="str">
        <f>Hyperlink("https://www.diodes.com/datasheet/download/DBLC18CIQ.pdf")</f>
        <v>https://www.diodes.com/datasheet/download/DBLC18CIQ.pdf</v>
      </c>
      <c r="C337" t="str">
        <f>Hyperlink("https://www.diodes.com/part/view/DBLC18CIQ","DBLC18CIQ")</f>
        <v>DBLC18CIQ</v>
      </c>
      <c r="D337" t="s">
        <v>354</v>
      </c>
      <c r="E337" t="s">
        <v>32</v>
      </c>
      <c r="F337" t="s">
        <v>33</v>
      </c>
      <c r="G337">
        <v>1</v>
      </c>
      <c r="H337" t="s">
        <v>28</v>
      </c>
      <c r="I337">
        <v>0.6</v>
      </c>
      <c r="J337">
        <v>18</v>
      </c>
      <c r="K337">
        <v>20</v>
      </c>
      <c r="M337">
        <v>8</v>
      </c>
      <c r="N337">
        <v>44</v>
      </c>
      <c r="O337" t="s">
        <v>21</v>
      </c>
      <c r="P337" t="s">
        <v>51</v>
      </c>
    </row>
    <row r="338" spans="1:16">
      <c r="A338" t="s">
        <v>524</v>
      </c>
      <c r="B338" s="2" t="str">
        <f>Hyperlink("https://www.diodes.com/datasheet/download/DBLC24CI.pdf")</f>
        <v>https://www.diodes.com/datasheet/download/DBLC24CI.pdf</v>
      </c>
      <c r="C338" t="str">
        <f>Hyperlink("https://www.diodes.com/part/view/DBLC24CI","DBLC24CI")</f>
        <v>DBLC24CI</v>
      </c>
      <c r="D338" t="s">
        <v>354</v>
      </c>
      <c r="E338" t="s">
        <v>18</v>
      </c>
      <c r="F338" t="s">
        <v>19</v>
      </c>
      <c r="G338">
        <v>1</v>
      </c>
      <c r="H338" t="s">
        <v>28</v>
      </c>
      <c r="I338">
        <v>0.6</v>
      </c>
      <c r="J338">
        <v>24</v>
      </c>
      <c r="K338">
        <v>26.7</v>
      </c>
      <c r="M338">
        <v>6</v>
      </c>
      <c r="N338">
        <v>58</v>
      </c>
      <c r="O338" t="s">
        <v>29</v>
      </c>
      <c r="P338" t="s">
        <v>51</v>
      </c>
    </row>
    <row r="339" spans="1:16">
      <c r="A339" t="s">
        <v>525</v>
      </c>
      <c r="B339" s="2" t="str">
        <f>Hyperlink("https://www.diodes.com/datasheet/download/DBLC24CIQ.pdf")</f>
        <v>https://www.diodes.com/datasheet/download/DBLC24CIQ.pdf</v>
      </c>
      <c r="C339" t="str">
        <f>Hyperlink("https://www.diodes.com/part/view/DBLC24CIQ","DBLC24CIQ")</f>
        <v>DBLC24CIQ</v>
      </c>
      <c r="D339" t="s">
        <v>354</v>
      </c>
      <c r="E339" t="s">
        <v>32</v>
      </c>
      <c r="F339" t="s">
        <v>33</v>
      </c>
      <c r="G339">
        <v>1</v>
      </c>
      <c r="H339" t="s">
        <v>28</v>
      </c>
      <c r="I339">
        <v>0.6</v>
      </c>
      <c r="J339">
        <v>24</v>
      </c>
      <c r="K339">
        <v>26.7</v>
      </c>
      <c r="M339">
        <v>6</v>
      </c>
      <c r="N339">
        <v>58</v>
      </c>
      <c r="O339" t="s">
        <v>54</v>
      </c>
      <c r="P339" t="s">
        <v>51</v>
      </c>
    </row>
    <row r="340" spans="1:16">
      <c r="A340" t="s">
        <v>526</v>
      </c>
      <c r="B340" s="2" t="str">
        <f>Hyperlink("https://www.diodes.com/datasheet/download/DESD0V8Z1BCSF.pdf")</f>
        <v>https://www.diodes.com/datasheet/download/DESD0V8Z1BCSF.pdf</v>
      </c>
      <c r="C340" t="str">
        <f>Hyperlink("https://www.diodes.com/part/view/DESD0V8Z1BCSF","DESD0V8Z1BCSF")</f>
        <v>DESD0V8Z1BCSF</v>
      </c>
      <c r="D340" t="s">
        <v>116</v>
      </c>
      <c r="E340" t="s">
        <v>18</v>
      </c>
      <c r="F340" t="s">
        <v>19</v>
      </c>
      <c r="G340">
        <v>1</v>
      </c>
      <c r="H340" t="s">
        <v>28</v>
      </c>
      <c r="I340">
        <v>0.18</v>
      </c>
      <c r="J340">
        <v>0.8</v>
      </c>
      <c r="K340">
        <v>1</v>
      </c>
      <c r="M340">
        <v>3</v>
      </c>
      <c r="O340" t="s">
        <v>527</v>
      </c>
      <c r="P340" t="s">
        <v>118</v>
      </c>
    </row>
    <row r="341" spans="1:16">
      <c r="A341" t="s">
        <v>528</v>
      </c>
      <c r="B341" s="2" t="str">
        <f>Hyperlink("https://www.diodes.com/datasheet/download/DESD12V0S1BL.pdf")</f>
        <v>https://www.diodes.com/datasheet/download/DESD12V0S1BL.pdf</v>
      </c>
      <c r="C341" t="str">
        <f>Hyperlink("https://www.diodes.com/part/view/DESD12V0S1BL","DESD12V0S1BL")</f>
        <v>DESD12V0S1BL</v>
      </c>
      <c r="D341" t="s">
        <v>529</v>
      </c>
      <c r="E341" t="s">
        <v>18</v>
      </c>
      <c r="F341" t="s">
        <v>19</v>
      </c>
      <c r="G341">
        <v>1</v>
      </c>
      <c r="H341" t="s">
        <v>28</v>
      </c>
      <c r="I341">
        <v>20</v>
      </c>
      <c r="J341">
        <v>12</v>
      </c>
      <c r="K341">
        <v>15</v>
      </c>
      <c r="M341">
        <v>9</v>
      </c>
      <c r="N341">
        <v>33.5</v>
      </c>
      <c r="O341" t="s">
        <v>21</v>
      </c>
      <c r="P341" t="s">
        <v>22</v>
      </c>
    </row>
    <row r="342" spans="1:16">
      <c r="A342" t="s">
        <v>530</v>
      </c>
      <c r="B342" s="2" t="str">
        <f>Hyperlink("https://www.diodes.com/datasheet/download/DESD12V0S1BLQ.pdf")</f>
        <v>https://www.diodes.com/datasheet/download/DESD12V0S1BLQ.pdf</v>
      </c>
      <c r="C342" t="str">
        <f>Hyperlink("https://www.diodes.com/part/view/DESD12V0S1BLQ","DESD12V0S1BLQ")</f>
        <v>DESD12V0S1BLQ</v>
      </c>
      <c r="D342" t="s">
        <v>116</v>
      </c>
      <c r="E342" t="s">
        <v>32</v>
      </c>
      <c r="F342" t="s">
        <v>33</v>
      </c>
      <c r="G342">
        <v>1</v>
      </c>
      <c r="H342" t="s">
        <v>28</v>
      </c>
      <c r="I342">
        <v>20</v>
      </c>
      <c r="J342">
        <v>12</v>
      </c>
      <c r="K342">
        <v>15</v>
      </c>
      <c r="M342">
        <v>8.5</v>
      </c>
      <c r="O342" t="s">
        <v>21</v>
      </c>
      <c r="P342" t="s">
        <v>22</v>
      </c>
    </row>
    <row r="343" spans="1:16">
      <c r="A343" t="s">
        <v>531</v>
      </c>
      <c r="B343" s="2" t="str">
        <f>Hyperlink("https://www.diodes.com/datasheet/download/DESD3V3L1BAQ+DESD24VL1BAQ.pdf")</f>
        <v>https://www.diodes.com/datasheet/download/DESD3V3L1BAQ+DESD24VL1BAQ.pdf</v>
      </c>
      <c r="C343" t="str">
        <f>Hyperlink("https://www.diodes.com/part/view/DESD12VL1BAQ","DESD12VL1BAQ")</f>
        <v>DESD12VL1BAQ</v>
      </c>
      <c r="D343" t="s">
        <v>532</v>
      </c>
      <c r="E343" t="s">
        <v>32</v>
      </c>
      <c r="F343" t="s">
        <v>33</v>
      </c>
      <c r="G343">
        <v>1</v>
      </c>
      <c r="H343" t="s">
        <v>28</v>
      </c>
      <c r="I343">
        <v>19</v>
      </c>
      <c r="J343">
        <v>12</v>
      </c>
      <c r="K343">
        <v>13.5</v>
      </c>
      <c r="M343">
        <v>5</v>
      </c>
      <c r="N343">
        <v>22</v>
      </c>
      <c r="O343" t="s">
        <v>21</v>
      </c>
      <c r="P343" t="s">
        <v>51</v>
      </c>
    </row>
    <row r="344" spans="1:16">
      <c r="A344" t="s">
        <v>533</v>
      </c>
      <c r="B344" s="2" t="str">
        <f>Hyperlink("https://www.diodes.com/datasheet/download/DESD3V3L2BTQ+DESD24VL2BTQ.pdf")</f>
        <v>https://www.diodes.com/datasheet/download/DESD3V3L2BTQ+DESD24VL2BTQ.pdf</v>
      </c>
      <c r="C344" t="str">
        <f>Hyperlink("https://www.diodes.com/part/view/DESD12VL2BTQ","DESD12VL2BTQ")</f>
        <v>DESD12VL2BTQ</v>
      </c>
      <c r="D344" t="s">
        <v>534</v>
      </c>
      <c r="E344" t="s">
        <v>32</v>
      </c>
      <c r="F344" t="s">
        <v>33</v>
      </c>
      <c r="G344">
        <v>2</v>
      </c>
      <c r="H344" t="s">
        <v>295</v>
      </c>
      <c r="I344">
        <v>19</v>
      </c>
      <c r="J344">
        <v>12</v>
      </c>
      <c r="K344">
        <v>13.5</v>
      </c>
      <c r="M344">
        <v>5</v>
      </c>
      <c r="N344">
        <v>22</v>
      </c>
      <c r="O344" t="s">
        <v>21</v>
      </c>
      <c r="P344" t="s">
        <v>43</v>
      </c>
    </row>
    <row r="345" spans="1:16">
      <c r="A345" t="s">
        <v>535</v>
      </c>
      <c r="B345" s="2" t="str">
        <f>Hyperlink("https://www.diodes.com/datasheet/download/DESDxxVxS2UTQ+SERIES.pdf")</f>
        <v>https://www.diodes.com/datasheet/download/DESDxxVxS2UTQ+SERIES.pdf</v>
      </c>
      <c r="C345" t="str">
        <f>Hyperlink("https://www.diodes.com/part/view/DESD12VS2UTQ","DESD12VS2UTQ")</f>
        <v>DESD12VS2UTQ</v>
      </c>
      <c r="D345" t="s">
        <v>536</v>
      </c>
      <c r="E345" t="s">
        <v>32</v>
      </c>
      <c r="F345" t="s">
        <v>33</v>
      </c>
      <c r="G345">
        <v>2</v>
      </c>
      <c r="H345" t="s">
        <v>295</v>
      </c>
      <c r="I345">
        <v>50</v>
      </c>
      <c r="J345">
        <v>12</v>
      </c>
      <c r="K345">
        <v>14.7</v>
      </c>
      <c r="M345">
        <v>6</v>
      </c>
      <c r="N345">
        <v>24</v>
      </c>
      <c r="O345" t="s">
        <v>21</v>
      </c>
      <c r="P345" t="s">
        <v>43</v>
      </c>
    </row>
    <row r="346" spans="1:16">
      <c r="A346" t="s">
        <v>537</v>
      </c>
      <c r="B346" s="2" t="str">
        <f>Hyperlink("https://www.diodes.com/datasheet/download/DESD3V3L1BAQ+DESD24VL1BAQ.pdf")</f>
        <v>https://www.diodes.com/datasheet/download/DESD3V3L1BAQ+DESD24VL1BAQ.pdf</v>
      </c>
      <c r="C346" t="str">
        <f>Hyperlink("https://www.diodes.com/part/view/DESD15VL1BAQ","DESD15VL1BAQ")</f>
        <v>DESD15VL1BAQ</v>
      </c>
      <c r="D346" t="s">
        <v>116</v>
      </c>
      <c r="E346" t="s">
        <v>32</v>
      </c>
      <c r="F346" t="s">
        <v>33</v>
      </c>
      <c r="G346">
        <v>1</v>
      </c>
      <c r="H346" t="s">
        <v>28</v>
      </c>
      <c r="I346">
        <v>16</v>
      </c>
      <c r="J346">
        <v>15</v>
      </c>
      <c r="K346">
        <v>16</v>
      </c>
      <c r="M346">
        <v>5</v>
      </c>
      <c r="N346">
        <v>25</v>
      </c>
      <c r="O346" t="s">
        <v>21</v>
      </c>
      <c r="P346" t="s">
        <v>51</v>
      </c>
    </row>
    <row r="347" spans="1:16">
      <c r="A347" t="s">
        <v>538</v>
      </c>
      <c r="B347" s="2" t="str">
        <f>Hyperlink("https://www.diodes.com/datasheet/download/DESD3V3L2BTQ+DESD24VL2BTQ.pdf")</f>
        <v>https://www.diodes.com/datasheet/download/DESD3V3L2BTQ+DESD24VL2BTQ.pdf</v>
      </c>
      <c r="C347" t="str">
        <f>Hyperlink("https://www.diodes.com/part/view/DESD15VL2BTQ","DESD15VL2BTQ")</f>
        <v>DESD15VL2BTQ</v>
      </c>
      <c r="D347" t="s">
        <v>534</v>
      </c>
      <c r="E347" t="s">
        <v>32</v>
      </c>
      <c r="F347" t="s">
        <v>33</v>
      </c>
      <c r="G347">
        <v>2</v>
      </c>
      <c r="H347" t="s">
        <v>295</v>
      </c>
      <c r="I347">
        <v>16</v>
      </c>
      <c r="J347">
        <v>15</v>
      </c>
      <c r="K347">
        <v>16</v>
      </c>
      <c r="M347">
        <v>5</v>
      </c>
      <c r="N347">
        <v>25</v>
      </c>
      <c r="O347" t="s">
        <v>21</v>
      </c>
      <c r="P347" t="s">
        <v>43</v>
      </c>
    </row>
    <row r="348" spans="1:16">
      <c r="A348" t="s">
        <v>539</v>
      </c>
      <c r="B348" s="2" t="str">
        <f>Hyperlink("https://www.diodes.com/datasheet/download/DESDxxVxS2UTQ+SERIES.pdf")</f>
        <v>https://www.diodes.com/datasheet/download/DESDxxVxS2UTQ+SERIES.pdf</v>
      </c>
      <c r="C348" t="str">
        <f>Hyperlink("https://www.diodes.com/part/view/DESD15VS2UTQ","DESD15VS2UTQ")</f>
        <v>DESD15VS2UTQ</v>
      </c>
      <c r="D348" t="s">
        <v>536</v>
      </c>
      <c r="E348" t="s">
        <v>32</v>
      </c>
      <c r="F348" t="s">
        <v>33</v>
      </c>
      <c r="G348">
        <v>2</v>
      </c>
      <c r="H348" t="s">
        <v>295</v>
      </c>
      <c r="I348">
        <v>40</v>
      </c>
      <c r="J348">
        <v>15</v>
      </c>
      <c r="K348">
        <v>17.6</v>
      </c>
      <c r="M348">
        <v>5</v>
      </c>
      <c r="N348">
        <v>30</v>
      </c>
      <c r="O348" t="s">
        <v>21</v>
      </c>
      <c r="P348" t="s">
        <v>43</v>
      </c>
    </row>
    <row r="349" spans="1:16">
      <c r="A349" t="s">
        <v>540</v>
      </c>
      <c r="B349" s="2" t="str">
        <f>Hyperlink("https://www.diodes.com/datasheet/download/DESD18VF1BL.pdf")</f>
        <v>https://www.diodes.com/datasheet/download/DESD18VF1BL.pdf</v>
      </c>
      <c r="C349" t="str">
        <f>Hyperlink("https://www.diodes.com/part/view/DESD18VF1BL","DESD18VF1BL")</f>
        <v>DESD18VF1BL</v>
      </c>
      <c r="D349" t="s">
        <v>116</v>
      </c>
      <c r="E349" t="s">
        <v>18</v>
      </c>
      <c r="F349" t="s">
        <v>19</v>
      </c>
      <c r="G349">
        <v>1</v>
      </c>
      <c r="H349" t="s">
        <v>28</v>
      </c>
      <c r="I349">
        <v>0.3</v>
      </c>
      <c r="J349">
        <v>18</v>
      </c>
      <c r="K349">
        <v>19</v>
      </c>
      <c r="L349">
        <v>0.001</v>
      </c>
      <c r="M349">
        <v>1</v>
      </c>
      <c r="N349">
        <v>17</v>
      </c>
      <c r="O349" t="s">
        <v>117</v>
      </c>
      <c r="P349" t="s">
        <v>22</v>
      </c>
    </row>
    <row r="350" spans="1:16">
      <c r="A350" t="s">
        <v>541</v>
      </c>
      <c r="B350" s="2" t="str">
        <f>Hyperlink("https://www.diodes.com/datasheet/download/DESD18VF1BLP3.pdf")</f>
        <v>https://www.diodes.com/datasheet/download/DESD18VF1BLP3.pdf</v>
      </c>
      <c r="C350" t="str">
        <f>Hyperlink("https://www.diodes.com/part/view/DESD18VF1BLP3","DESD18VF1BLP3")</f>
        <v>DESD18VF1BLP3</v>
      </c>
      <c r="D350" t="s">
        <v>160</v>
      </c>
      <c r="E350" t="s">
        <v>18</v>
      </c>
      <c r="F350" t="s">
        <v>19</v>
      </c>
      <c r="G350">
        <v>1</v>
      </c>
      <c r="H350" t="s">
        <v>28</v>
      </c>
      <c r="I350">
        <v>0.3</v>
      </c>
      <c r="J350">
        <v>18</v>
      </c>
      <c r="K350">
        <v>19</v>
      </c>
      <c r="L350">
        <v>0.001</v>
      </c>
      <c r="M350">
        <v>1</v>
      </c>
      <c r="N350">
        <v>15</v>
      </c>
      <c r="O350" t="s">
        <v>117</v>
      </c>
      <c r="P350" t="s">
        <v>326</v>
      </c>
    </row>
    <row r="351" spans="1:16">
      <c r="A351" t="s">
        <v>542</v>
      </c>
      <c r="B351" s="2" t="str">
        <f>Hyperlink("https://www.diodes.com/datasheet/download/DESD18VF1BLQ.pdf")</f>
        <v>https://www.diodes.com/datasheet/download/DESD18VF1BLQ.pdf</v>
      </c>
      <c r="C351" t="str">
        <f>Hyperlink("https://www.diodes.com/part/view/DESD18VF1BLQ","DESD18VF1BLQ")</f>
        <v>DESD18VF1BLQ</v>
      </c>
      <c r="D351" t="s">
        <v>160</v>
      </c>
      <c r="E351" t="s">
        <v>32</v>
      </c>
      <c r="F351" t="s">
        <v>33</v>
      </c>
      <c r="G351">
        <v>1</v>
      </c>
      <c r="H351" t="s">
        <v>28</v>
      </c>
      <c r="I351">
        <v>0.3</v>
      </c>
      <c r="J351">
        <v>18</v>
      </c>
      <c r="K351">
        <v>19</v>
      </c>
      <c r="L351">
        <v>0.001</v>
      </c>
      <c r="M351">
        <v>1</v>
      </c>
      <c r="N351">
        <v>17</v>
      </c>
      <c r="O351" t="s">
        <v>199</v>
      </c>
      <c r="P351" t="s">
        <v>22</v>
      </c>
    </row>
    <row r="352" spans="1:16">
      <c r="A352" t="s">
        <v>543</v>
      </c>
      <c r="B352" s="2" t="str">
        <f>Hyperlink("https://www.diodes.com/datasheet/download/DESD18VS1BLP3.pdf")</f>
        <v>https://www.diodes.com/datasheet/download/DESD18VS1BLP3.pdf</v>
      </c>
      <c r="C352" t="str">
        <f>Hyperlink("https://www.diodes.com/part/view/DESD18VS1BLP3","DESD18VS1BLP3")</f>
        <v>DESD18VS1BLP3</v>
      </c>
      <c r="D352" t="s">
        <v>160</v>
      </c>
      <c r="E352" t="s">
        <v>18</v>
      </c>
      <c r="F352" t="s">
        <v>19</v>
      </c>
      <c r="G352">
        <v>1</v>
      </c>
      <c r="H352" t="s">
        <v>28</v>
      </c>
      <c r="I352">
        <v>0.3</v>
      </c>
      <c r="J352">
        <v>18</v>
      </c>
      <c r="K352">
        <v>25</v>
      </c>
      <c r="L352">
        <v>0.001</v>
      </c>
      <c r="M352">
        <v>1</v>
      </c>
      <c r="N352">
        <v>23</v>
      </c>
      <c r="O352" t="s">
        <v>270</v>
      </c>
      <c r="P352" t="s">
        <v>326</v>
      </c>
    </row>
    <row r="353" spans="1:16">
      <c r="A353" t="s">
        <v>544</v>
      </c>
      <c r="B353" s="2" t="str">
        <f>Hyperlink("https://www.diodes.com/datasheet/download/DESD1CAN2SOQ.pdf")</f>
        <v>https://www.diodes.com/datasheet/download/DESD1CAN2SOQ.pdf</v>
      </c>
      <c r="C353" t="str">
        <f>Hyperlink("https://www.diodes.com/part/view/DESD1CAN2SOQ","DESD1CAN2SOQ")</f>
        <v>DESD1CAN2SOQ</v>
      </c>
      <c r="D353" t="s">
        <v>545</v>
      </c>
      <c r="E353" t="s">
        <v>32</v>
      </c>
      <c r="F353" t="s">
        <v>33</v>
      </c>
      <c r="G353">
        <v>2</v>
      </c>
      <c r="H353" t="s">
        <v>295</v>
      </c>
      <c r="I353">
        <v>11</v>
      </c>
      <c r="J353">
        <v>24</v>
      </c>
      <c r="K353">
        <v>25.4</v>
      </c>
      <c r="L353">
        <v>0.001</v>
      </c>
      <c r="M353">
        <v>3</v>
      </c>
      <c r="N353">
        <v>70</v>
      </c>
      <c r="O353" t="s">
        <v>21</v>
      </c>
      <c r="P353" t="s">
        <v>43</v>
      </c>
    </row>
    <row r="354" spans="1:16">
      <c r="A354" t="s">
        <v>546</v>
      </c>
      <c r="B354" s="2" t="str">
        <f>Hyperlink("https://www.diodes.com/datasheet/download/DESD1CAN2WQ.pdf")</f>
        <v>https://www.diodes.com/datasheet/download/DESD1CAN2WQ.pdf</v>
      </c>
      <c r="C354" t="str">
        <f>Hyperlink("https://www.diodes.com/part/view/DESD1CAN2WQ","DESD1CAN2WQ")</f>
        <v>DESD1CAN2WQ</v>
      </c>
      <c r="D354" t="s">
        <v>545</v>
      </c>
      <c r="E354" t="s">
        <v>32</v>
      </c>
      <c r="F354" t="s">
        <v>33</v>
      </c>
      <c r="G354">
        <v>2</v>
      </c>
      <c r="H354" t="s">
        <v>295</v>
      </c>
      <c r="I354">
        <v>9.3</v>
      </c>
      <c r="J354">
        <v>24</v>
      </c>
      <c r="K354">
        <v>25.4</v>
      </c>
      <c r="L354">
        <v>0.001</v>
      </c>
      <c r="M354">
        <v>3</v>
      </c>
      <c r="N354">
        <v>50</v>
      </c>
      <c r="O354" t="s">
        <v>296</v>
      </c>
      <c r="P354" t="s">
        <v>48</v>
      </c>
    </row>
    <row r="355" spans="1:16">
      <c r="A355" t="s">
        <v>547</v>
      </c>
      <c r="B355" s="2" t="str">
        <f>Hyperlink("https://www.diodes.com/datasheet/download/DESD1CANFD24VSOQ.pdf")</f>
        <v>https://www.diodes.com/datasheet/download/DESD1CANFD24VSOQ.pdf</v>
      </c>
      <c r="C355" t="str">
        <f>Hyperlink("https://www.diodes.com/part/view/DESD1CANFD24VSOQ","DESD1CANFD24VSOQ")</f>
        <v>DESD1CANFD24VSOQ</v>
      </c>
      <c r="D355" t="s">
        <v>548</v>
      </c>
      <c r="E355" t="s">
        <v>32</v>
      </c>
      <c r="F355" t="s">
        <v>33</v>
      </c>
      <c r="G355">
        <v>2</v>
      </c>
      <c r="H355" t="s">
        <v>295</v>
      </c>
      <c r="I355">
        <v>5.2</v>
      </c>
      <c r="J355">
        <v>24</v>
      </c>
      <c r="K355">
        <v>25.5</v>
      </c>
      <c r="L355">
        <v>0.001</v>
      </c>
      <c r="M355">
        <v>2.6</v>
      </c>
      <c r="O355" t="s">
        <v>296</v>
      </c>
      <c r="P355" t="s">
        <v>43</v>
      </c>
    </row>
    <row r="356" spans="1:16">
      <c r="A356" t="s">
        <v>549</v>
      </c>
      <c r="B356" s="2" t="str">
        <f>Hyperlink("https://www.diodes.com/datasheet/download/DESD1CANFD24VWQ.pdf")</f>
        <v>https://www.diodes.com/datasheet/download/DESD1CANFD24VWQ.pdf</v>
      </c>
      <c r="C356" t="str">
        <f>Hyperlink("https://www.diodes.com/part/view/DESD1CANFD24VWQ","DESD1CANFD24VWQ")</f>
        <v>DESD1CANFD24VWQ</v>
      </c>
      <c r="D356" t="s">
        <v>548</v>
      </c>
      <c r="E356" t="s">
        <v>32</v>
      </c>
      <c r="F356" t="s">
        <v>33</v>
      </c>
      <c r="G356">
        <v>2</v>
      </c>
      <c r="H356" t="s">
        <v>295</v>
      </c>
      <c r="I356">
        <v>5.2</v>
      </c>
      <c r="J356">
        <v>24</v>
      </c>
      <c r="K356">
        <v>25.5</v>
      </c>
      <c r="L356">
        <v>0.001</v>
      </c>
      <c r="M356">
        <v>2.6</v>
      </c>
      <c r="O356" t="s">
        <v>296</v>
      </c>
      <c r="P356" t="s">
        <v>48</v>
      </c>
    </row>
    <row r="357" spans="1:16">
      <c r="A357" t="s">
        <v>550</v>
      </c>
      <c r="B357" s="2" t="str">
        <f>Hyperlink("https://www.diodes.com/datasheet/download/DESD1ETH1GLPSQ.pdf")</f>
        <v>https://www.diodes.com/datasheet/download/DESD1ETH1GLPSQ.pdf</v>
      </c>
      <c r="C357" t="str">
        <f>Hyperlink("https://www.diodes.com/part/view/DESD1ETH1GLPSQ","DESD1ETH1GLPSQ")</f>
        <v>DESD1ETH1GLPSQ</v>
      </c>
      <c r="D357" t="s">
        <v>551</v>
      </c>
      <c r="E357" t="s">
        <v>32</v>
      </c>
      <c r="F357" t="s">
        <v>33</v>
      </c>
      <c r="G357">
        <v>1</v>
      </c>
      <c r="H357" t="s">
        <v>28</v>
      </c>
      <c r="I357">
        <v>1.2</v>
      </c>
      <c r="J357">
        <v>24</v>
      </c>
      <c r="L357">
        <v>0.1</v>
      </c>
      <c r="M357">
        <v>2.3</v>
      </c>
      <c r="O357" t="s">
        <v>21</v>
      </c>
      <c r="P357" t="s">
        <v>329</v>
      </c>
    </row>
    <row r="358" spans="1:16">
      <c r="A358" t="s">
        <v>552</v>
      </c>
      <c r="B358" s="2" t="str">
        <f>Hyperlink("https://www.diodes.com/datasheet/download/DESD1ETH1GXLPSQ.pdf")</f>
        <v>https://www.diodes.com/datasheet/download/DESD1ETH1GXLPSQ.pdf</v>
      </c>
      <c r="C358" t="str">
        <f>Hyperlink("https://www.diodes.com/part/view/DESD1ETH1GXLPSQ","DESD1ETH1GXLPSQ")</f>
        <v>DESD1ETH1GXLPSQ</v>
      </c>
      <c r="D358" t="s">
        <v>553</v>
      </c>
      <c r="E358" t="s">
        <v>32</v>
      </c>
      <c r="F358" t="s">
        <v>33</v>
      </c>
      <c r="G358">
        <v>1</v>
      </c>
      <c r="H358" t="s">
        <v>28</v>
      </c>
      <c r="I358">
        <v>0.8</v>
      </c>
      <c r="J358">
        <v>24</v>
      </c>
      <c r="L358">
        <v>0.1</v>
      </c>
      <c r="M358">
        <v>2.3</v>
      </c>
      <c r="O358" t="s">
        <v>21</v>
      </c>
      <c r="P358" t="s">
        <v>329</v>
      </c>
    </row>
    <row r="359" spans="1:16">
      <c r="A359" t="s">
        <v>554</v>
      </c>
      <c r="B359" s="2" t="str">
        <f>Hyperlink("https://www.diodes.com/datasheet/download/DESD1FLEX2SOQ.pdf")</f>
        <v>https://www.diodes.com/datasheet/download/DESD1FLEX2SOQ.pdf</v>
      </c>
      <c r="C359" t="str">
        <f>Hyperlink("https://www.diodes.com/part/view/DESD1FLEX2SOQ","DESD1FLEX2SOQ")</f>
        <v>DESD1FLEX2SOQ</v>
      </c>
      <c r="D359" t="s">
        <v>555</v>
      </c>
      <c r="E359" t="s">
        <v>32</v>
      </c>
      <c r="F359" t="s">
        <v>33</v>
      </c>
      <c r="G359">
        <v>2</v>
      </c>
      <c r="H359" t="s">
        <v>295</v>
      </c>
      <c r="I359">
        <v>11</v>
      </c>
      <c r="J359">
        <v>24</v>
      </c>
      <c r="K359">
        <v>25.4</v>
      </c>
      <c r="L359">
        <v>0.001</v>
      </c>
      <c r="M359">
        <v>3</v>
      </c>
      <c r="N359">
        <v>70</v>
      </c>
      <c r="O359">
        <v>30</v>
      </c>
      <c r="P359" t="s">
        <v>43</v>
      </c>
    </row>
    <row r="360" spans="1:16">
      <c r="A360" t="s">
        <v>556</v>
      </c>
      <c r="B360" s="2" t="str">
        <f>Hyperlink("https://www.diodes.com/datasheet/download/DESD1IVN27V2WSQ.pdf")</f>
        <v>https://www.diodes.com/datasheet/download/DESD1IVN27V2WSQ.pdf</v>
      </c>
      <c r="C360" t="str">
        <f>Hyperlink("https://www.diodes.com/part/view/DESD1IVN27V2WSQ","DESD1IVN27V2WSQ")</f>
        <v>DESD1IVN27V2WSQ</v>
      </c>
      <c r="D360" t="s">
        <v>557</v>
      </c>
      <c r="E360" t="s">
        <v>32</v>
      </c>
      <c r="F360" t="s">
        <v>33</v>
      </c>
      <c r="G360">
        <v>1</v>
      </c>
      <c r="H360" t="s">
        <v>28</v>
      </c>
      <c r="I360">
        <v>14</v>
      </c>
      <c r="J360">
        <v>27</v>
      </c>
      <c r="K360">
        <v>28</v>
      </c>
      <c r="L360">
        <v>0.001</v>
      </c>
      <c r="N360">
        <v>45</v>
      </c>
      <c r="O360">
        <v>30</v>
      </c>
      <c r="P360" t="s">
        <v>51</v>
      </c>
    </row>
    <row r="361" spans="1:16">
      <c r="A361" t="s">
        <v>558</v>
      </c>
      <c r="B361" s="2" t="str">
        <f>Hyperlink("https://www.diodes.com/datasheet/download/DESD1LIN2WSQ.pdf")</f>
        <v>https://www.diodes.com/datasheet/download/DESD1LIN2WSQ.pdf</v>
      </c>
      <c r="C361" t="str">
        <f>Hyperlink("https://www.diodes.com/part/view/DESD1LIN2WSQ","DESD1LIN2WSQ")</f>
        <v>DESD1LIN2WSQ</v>
      </c>
      <c r="D361" t="s">
        <v>559</v>
      </c>
      <c r="E361" t="s">
        <v>32</v>
      </c>
      <c r="F361" t="s">
        <v>33</v>
      </c>
      <c r="G361">
        <v>1</v>
      </c>
      <c r="H361" t="s">
        <v>28</v>
      </c>
      <c r="I361">
        <v>13</v>
      </c>
      <c r="J361">
        <v>24</v>
      </c>
      <c r="K361">
        <v>25.4</v>
      </c>
      <c r="L361">
        <v>0.001</v>
      </c>
      <c r="M361">
        <v>3</v>
      </c>
      <c r="N361">
        <v>50</v>
      </c>
      <c r="O361">
        <v>30</v>
      </c>
      <c r="P361" t="s">
        <v>51</v>
      </c>
    </row>
    <row r="362" spans="1:16">
      <c r="A362" t="s">
        <v>560</v>
      </c>
      <c r="B362" s="2" t="str">
        <f>Hyperlink("https://www.diodes.com/datasheet/download/DESD1P0RFWA.pdf")</f>
        <v>https://www.diodes.com/datasheet/download/DESD1P0RFWA.pdf</v>
      </c>
      <c r="C362" t="str">
        <f>Hyperlink("https://www.diodes.com/part/view/DESD1P0RFWA","DESD1P0RFWA")</f>
        <v>DESD1P0RFWA</v>
      </c>
      <c r="D362" t="s">
        <v>561</v>
      </c>
      <c r="E362" t="s">
        <v>18</v>
      </c>
      <c r="F362" t="s">
        <v>19</v>
      </c>
      <c r="G362">
        <v>2</v>
      </c>
      <c r="H362" t="s">
        <v>56</v>
      </c>
      <c r="I362">
        <v>1</v>
      </c>
      <c r="J362">
        <v>70</v>
      </c>
      <c r="L362">
        <v>0.1</v>
      </c>
      <c r="N362">
        <v>8</v>
      </c>
      <c r="O362">
        <v>30</v>
      </c>
      <c r="P362" t="s">
        <v>48</v>
      </c>
    </row>
    <row r="363" spans="1:16">
      <c r="A363" t="s">
        <v>562</v>
      </c>
      <c r="B363" s="2" t="str">
        <f>Hyperlink("https://www.diodes.com/datasheet/download/DESD1V0ZS1BLP3.pdf")</f>
        <v>https://www.diodes.com/datasheet/download/DESD1V0ZS1BLP3.pdf</v>
      </c>
      <c r="C363" t="str">
        <f>Hyperlink("https://www.diodes.com/part/view/DESD1V0ZS1BLP3","DESD1V0ZS1BLP3")</f>
        <v>DESD1V0ZS1BLP3</v>
      </c>
      <c r="D363" t="s">
        <v>31</v>
      </c>
      <c r="E363" t="s">
        <v>18</v>
      </c>
      <c r="F363" t="s">
        <v>19</v>
      </c>
      <c r="G363">
        <v>1</v>
      </c>
      <c r="H363" t="s">
        <v>28</v>
      </c>
      <c r="I363">
        <v>0.15</v>
      </c>
      <c r="J363">
        <v>1</v>
      </c>
      <c r="K363">
        <v>3</v>
      </c>
      <c r="L363">
        <v>0.1</v>
      </c>
      <c r="N363">
        <v>6.7</v>
      </c>
      <c r="O363">
        <v>14</v>
      </c>
      <c r="P363" t="s">
        <v>100</v>
      </c>
    </row>
    <row r="364" spans="1:16">
      <c r="A364" t="s">
        <v>563</v>
      </c>
      <c r="B364" s="2" t="str">
        <f>Hyperlink("https://www.diodes.com/datasheet/download/DESD1V5ZS1BLP3.pdf")</f>
        <v>https://www.diodes.com/datasheet/download/DESD1V5ZS1BLP3.pdf</v>
      </c>
      <c r="C364" t="str">
        <f>Hyperlink("https://www.diodes.com/part/view/DESD1V5ZS1BLP3","DESD1V5ZS1BLP3")</f>
        <v>DESD1V5ZS1BLP3</v>
      </c>
      <c r="D364" t="s">
        <v>455</v>
      </c>
      <c r="E364" t="s">
        <v>18</v>
      </c>
      <c r="F364" t="s">
        <v>19</v>
      </c>
      <c r="G364">
        <v>1</v>
      </c>
      <c r="H364" t="s">
        <v>28</v>
      </c>
      <c r="I364">
        <v>0.15</v>
      </c>
      <c r="J364">
        <v>1.5</v>
      </c>
      <c r="K364">
        <v>4</v>
      </c>
      <c r="L364">
        <v>0.1</v>
      </c>
      <c r="N364">
        <v>6.7</v>
      </c>
      <c r="O364">
        <v>15</v>
      </c>
      <c r="P364" t="s">
        <v>100</v>
      </c>
    </row>
    <row r="365" spans="1:16">
      <c r="A365" t="s">
        <v>564</v>
      </c>
      <c r="B365" s="2" t="str">
        <f>Hyperlink("https://www.diodes.com/datasheet/download/DESD24VF1BL.pdf")</f>
        <v>https://www.diodes.com/datasheet/download/DESD24VF1BL.pdf</v>
      </c>
      <c r="C365" t="str">
        <f>Hyperlink("https://www.diodes.com/part/view/DESD24VF1BL","DESD24VF1BL")</f>
        <v>DESD24VF1BL</v>
      </c>
      <c r="D365" t="s">
        <v>227</v>
      </c>
      <c r="E365" t="s">
        <v>18</v>
      </c>
      <c r="F365" t="s">
        <v>33</v>
      </c>
      <c r="G365">
        <v>1</v>
      </c>
      <c r="H365" t="s">
        <v>28</v>
      </c>
      <c r="I365">
        <v>0.3</v>
      </c>
      <c r="J365">
        <v>24</v>
      </c>
      <c r="K365">
        <v>25</v>
      </c>
      <c r="L365">
        <v>0.03</v>
      </c>
      <c r="N365">
        <v>23</v>
      </c>
      <c r="O365" t="s">
        <v>270</v>
      </c>
      <c r="P365" t="s">
        <v>22</v>
      </c>
    </row>
    <row r="366" spans="1:16">
      <c r="A366" t="s">
        <v>565</v>
      </c>
      <c r="B366" s="2" t="str">
        <f>Hyperlink("https://www.diodes.com/datasheet/download/DESD24VF1BLP3.pdf")</f>
        <v>https://www.diodes.com/datasheet/download/DESD24VF1BLP3.pdf</v>
      </c>
      <c r="C366" t="str">
        <f>Hyperlink("https://www.diodes.com/part/view/DESD24VF1BLP3","DESD24VF1BLP3")</f>
        <v>DESD24VF1BLP3</v>
      </c>
      <c r="D366" t="s">
        <v>227</v>
      </c>
      <c r="E366" t="s">
        <v>18</v>
      </c>
      <c r="F366" t="s">
        <v>19</v>
      </c>
      <c r="G366">
        <v>1</v>
      </c>
      <c r="H366" t="s">
        <v>28</v>
      </c>
      <c r="I366">
        <v>0.3</v>
      </c>
      <c r="J366">
        <v>24</v>
      </c>
      <c r="K366">
        <v>25</v>
      </c>
      <c r="L366">
        <v>0.1</v>
      </c>
      <c r="N366">
        <v>23</v>
      </c>
      <c r="O366" t="s">
        <v>270</v>
      </c>
      <c r="P366" t="s">
        <v>326</v>
      </c>
    </row>
    <row r="367" spans="1:16">
      <c r="A367" t="s">
        <v>566</v>
      </c>
      <c r="B367" s="2" t="str">
        <f>Hyperlink("https://www.diodes.com/datasheet/download/DESD24VF1BLQ.pdf")</f>
        <v>https://www.diodes.com/datasheet/download/DESD24VF1BLQ.pdf</v>
      </c>
      <c r="C367" t="str">
        <f>Hyperlink("https://www.diodes.com/part/view/DESD24VF1BLQ","DESD24VF1BLQ")</f>
        <v>DESD24VF1BLQ</v>
      </c>
      <c r="D367" t="s">
        <v>227</v>
      </c>
      <c r="E367" t="s">
        <v>32</v>
      </c>
      <c r="F367" t="s">
        <v>33</v>
      </c>
      <c r="G367">
        <v>1</v>
      </c>
      <c r="H367" t="s">
        <v>28</v>
      </c>
      <c r="I367">
        <v>0.3</v>
      </c>
      <c r="J367">
        <v>24</v>
      </c>
      <c r="K367">
        <v>25</v>
      </c>
      <c r="L367">
        <v>0.03</v>
      </c>
      <c r="N367">
        <v>32</v>
      </c>
      <c r="O367">
        <v>13</v>
      </c>
      <c r="P367" t="s">
        <v>22</v>
      </c>
    </row>
    <row r="368" spans="1:16">
      <c r="A368" t="s">
        <v>567</v>
      </c>
      <c r="B368" s="2" t="str">
        <f>Hyperlink("https://www.diodes.com/datasheet/download/DESD3V3L1BAQ+DESD24VL1BAQ.pdf")</f>
        <v>https://www.diodes.com/datasheet/download/DESD3V3L1BAQ+DESD24VL1BAQ.pdf</v>
      </c>
      <c r="C368" t="str">
        <f>Hyperlink("https://www.diodes.com/part/view/DESD24VL1BAQ","DESD24VL1BAQ")</f>
        <v>DESD24VL1BAQ</v>
      </c>
      <c r="D368" t="s">
        <v>116</v>
      </c>
      <c r="E368" t="s">
        <v>32</v>
      </c>
      <c r="F368" t="s">
        <v>33</v>
      </c>
      <c r="G368">
        <v>1</v>
      </c>
      <c r="H368" t="s">
        <v>28</v>
      </c>
      <c r="I368">
        <v>11</v>
      </c>
      <c r="J368">
        <v>24</v>
      </c>
      <c r="K368">
        <v>24</v>
      </c>
      <c r="N368">
        <v>38</v>
      </c>
      <c r="P368" t="s">
        <v>51</v>
      </c>
    </row>
    <row r="369" spans="1:16">
      <c r="A369" t="s">
        <v>568</v>
      </c>
      <c r="B369" s="2" t="str">
        <f>Hyperlink("https://www.diodes.com/datasheet/download/DESD3V3L2BTQ+DESD24VL2BTQ.pdf")</f>
        <v>https://www.diodes.com/datasheet/download/DESD3V3L2BTQ+DESD24VL2BTQ.pdf</v>
      </c>
      <c r="C369" t="str">
        <f>Hyperlink("https://www.diodes.com/part/view/DESD24VL2BTQ","DESD24VL2BTQ")</f>
        <v>DESD24VL2BTQ</v>
      </c>
      <c r="D369" t="s">
        <v>534</v>
      </c>
      <c r="E369" t="s">
        <v>32</v>
      </c>
      <c r="F369" t="s">
        <v>33</v>
      </c>
      <c r="G369">
        <v>2</v>
      </c>
      <c r="H369" t="s">
        <v>295</v>
      </c>
      <c r="I369">
        <v>11</v>
      </c>
      <c r="J369">
        <v>24</v>
      </c>
      <c r="K369">
        <v>24</v>
      </c>
      <c r="L369">
        <v>0.5</v>
      </c>
      <c r="N369">
        <v>38</v>
      </c>
      <c r="O369">
        <v>30</v>
      </c>
      <c r="P369" t="s">
        <v>43</v>
      </c>
    </row>
    <row r="370" spans="1:16">
      <c r="A370" t="s">
        <v>569</v>
      </c>
      <c r="B370" s="2" t="str">
        <f>Hyperlink("https://www.diodes.com/datasheet/download/DESD24VS2SO.pdf")</f>
        <v>https://www.diodes.com/datasheet/download/DESD24VS2SO.pdf</v>
      </c>
      <c r="C370" t="str">
        <f>Hyperlink("https://www.diodes.com/part/view/DESD24VS2SO","DESD24VS2SO")</f>
        <v>DESD24VS2SO</v>
      </c>
      <c r="D370" t="s">
        <v>570</v>
      </c>
      <c r="E370" t="s">
        <v>18</v>
      </c>
      <c r="F370" t="s">
        <v>19</v>
      </c>
      <c r="G370">
        <v>2</v>
      </c>
      <c r="H370" t="s">
        <v>56</v>
      </c>
      <c r="I370">
        <v>42</v>
      </c>
      <c r="J370">
        <v>24</v>
      </c>
      <c r="K370">
        <v>26</v>
      </c>
      <c r="M370">
        <v>5</v>
      </c>
      <c r="N370">
        <v>41</v>
      </c>
      <c r="O370" t="s">
        <v>21</v>
      </c>
      <c r="P370" t="s">
        <v>43</v>
      </c>
    </row>
    <row r="371" spans="1:16">
      <c r="A371" t="s">
        <v>571</v>
      </c>
      <c r="B371" s="2" t="str">
        <f>Hyperlink("https://www.diodes.com/datasheet/download/DESD24VS2SOQ.pdf")</f>
        <v>https://www.diodes.com/datasheet/download/DESD24VS2SOQ.pdf</v>
      </c>
      <c r="C371" t="str">
        <f>Hyperlink("https://www.diodes.com/part/view/DESD24VS2SOQ","DESD24VS2SOQ")</f>
        <v>DESD24VS2SOQ</v>
      </c>
      <c r="D371" t="s">
        <v>572</v>
      </c>
      <c r="E371" t="s">
        <v>32</v>
      </c>
      <c r="F371" t="s">
        <v>33</v>
      </c>
      <c r="G371">
        <v>2</v>
      </c>
      <c r="H371" t="s">
        <v>56</v>
      </c>
      <c r="I371">
        <v>42</v>
      </c>
      <c r="J371">
        <v>24</v>
      </c>
      <c r="K371">
        <v>26</v>
      </c>
      <c r="L371">
        <v>0.01</v>
      </c>
      <c r="M371">
        <v>5</v>
      </c>
      <c r="N371">
        <v>41</v>
      </c>
      <c r="O371" t="s">
        <v>21</v>
      </c>
      <c r="P371" t="s">
        <v>43</v>
      </c>
    </row>
    <row r="372" spans="1:16">
      <c r="A372" t="s">
        <v>573</v>
      </c>
      <c r="B372" s="2" t="str">
        <f>Hyperlink("https://www.diodes.com/datasheet/download/DESDxxVxS2UTQ+SERIES.pdf")</f>
        <v>https://www.diodes.com/datasheet/download/DESDxxVxS2UTQ+SERIES.pdf</v>
      </c>
      <c r="C372" t="str">
        <f>Hyperlink("https://www.diodes.com/part/view/DESD24VS2UTQ","DESD24VS2UTQ")</f>
        <v>DESD24VS2UTQ</v>
      </c>
      <c r="D372" t="s">
        <v>536</v>
      </c>
      <c r="E372" t="s">
        <v>32</v>
      </c>
      <c r="F372" t="s">
        <v>33</v>
      </c>
      <c r="G372">
        <v>2</v>
      </c>
      <c r="H372" t="s">
        <v>56</v>
      </c>
      <c r="I372">
        <v>30</v>
      </c>
      <c r="J372">
        <v>24</v>
      </c>
      <c r="K372">
        <v>26.5</v>
      </c>
      <c r="L372">
        <v>0.5</v>
      </c>
      <c r="N372">
        <v>45</v>
      </c>
      <c r="O372" t="s">
        <v>21</v>
      </c>
      <c r="P372" t="s">
        <v>43</v>
      </c>
    </row>
    <row r="373" spans="1:16">
      <c r="A373" t="s">
        <v>574</v>
      </c>
      <c r="B373" s="2" t="str">
        <f>Hyperlink("https://www.diodes.com/datasheet/download/DESD24VS5U6SOQ.pdf")</f>
        <v>https://www.diodes.com/datasheet/download/DESD24VS5U6SOQ.pdf</v>
      </c>
      <c r="C373" t="str">
        <f>Hyperlink("https://www.diodes.com/part/view/DESD24VS5U6SOQ","DESD24VS5U6SOQ")</f>
        <v>DESD24VS5U6SOQ</v>
      </c>
      <c r="D373" t="s">
        <v>575</v>
      </c>
      <c r="E373" t="s">
        <v>32</v>
      </c>
      <c r="F373" t="s">
        <v>33</v>
      </c>
      <c r="G373">
        <v>5</v>
      </c>
      <c r="H373" t="s">
        <v>576</v>
      </c>
      <c r="I373">
        <v>45</v>
      </c>
      <c r="J373">
        <v>24</v>
      </c>
      <c r="K373">
        <v>25.5</v>
      </c>
      <c r="L373">
        <v>0.1</v>
      </c>
      <c r="N373">
        <v>45</v>
      </c>
      <c r="O373" t="s">
        <v>154</v>
      </c>
      <c r="P373" t="s">
        <v>61</v>
      </c>
    </row>
    <row r="374" spans="1:16">
      <c r="A374" t="s">
        <v>577</v>
      </c>
      <c r="B374" s="2" t="str">
        <f>Hyperlink("https://www.diodes.com/datasheet/download/DESD2CAN2SOQ.pdf")</f>
        <v>https://www.diodes.com/datasheet/download/DESD2CAN2SOQ.pdf</v>
      </c>
      <c r="C374" t="str">
        <f>Hyperlink("https://www.diodes.com/part/view/DESD2CAN2SOQ","DESD2CAN2SOQ")</f>
        <v>DESD2CAN2SOQ</v>
      </c>
      <c r="D374" t="s">
        <v>545</v>
      </c>
      <c r="E374" t="s">
        <v>32</v>
      </c>
      <c r="F374" t="s">
        <v>33</v>
      </c>
      <c r="G374">
        <v>2</v>
      </c>
      <c r="H374" t="s">
        <v>295</v>
      </c>
      <c r="I374">
        <v>25</v>
      </c>
      <c r="J374">
        <v>24</v>
      </c>
      <c r="K374">
        <v>25.4</v>
      </c>
      <c r="L374">
        <v>0.001</v>
      </c>
      <c r="M374">
        <v>5</v>
      </c>
      <c r="N374">
        <v>41</v>
      </c>
      <c r="O374">
        <v>30</v>
      </c>
      <c r="P374" t="s">
        <v>43</v>
      </c>
    </row>
    <row r="375" spans="1:16">
      <c r="A375" t="s">
        <v>578</v>
      </c>
      <c r="B375" s="2" t="str">
        <f>Hyperlink("https://www.diodes.com/datasheet/download/DESD2ETH100SOQ.pdf")</f>
        <v>https://www.diodes.com/datasheet/download/DESD2ETH100SOQ.pdf</v>
      </c>
      <c r="C375" t="str">
        <f>Hyperlink("https://www.diodes.com/part/view/DESD2ETH100SOQ","DESD2ETH100SOQ")</f>
        <v>DESD2ETH100SOQ</v>
      </c>
      <c r="D375" t="s">
        <v>579</v>
      </c>
      <c r="E375" t="s">
        <v>32</v>
      </c>
      <c r="F375" t="s">
        <v>33</v>
      </c>
      <c r="G375">
        <v>2</v>
      </c>
      <c r="H375" t="s">
        <v>295</v>
      </c>
      <c r="I375">
        <v>2.3</v>
      </c>
      <c r="J375">
        <v>24</v>
      </c>
      <c r="L375">
        <v>0.1</v>
      </c>
      <c r="O375" t="s">
        <v>21</v>
      </c>
      <c r="P375" t="s">
        <v>43</v>
      </c>
    </row>
    <row r="376" spans="1:16">
      <c r="A376" t="s">
        <v>580</v>
      </c>
      <c r="B376" s="2" t="str">
        <f>Hyperlink("https://www.diodes.com/datasheet/download/DESD2ETH1GSOQ.pdf")</f>
        <v>https://www.diodes.com/datasheet/download/DESD2ETH1GSOQ.pdf</v>
      </c>
      <c r="C376" t="str">
        <f>Hyperlink("https://www.diodes.com/part/view/DESD2ETH1GSOQ","DESD2ETH1GSOQ")</f>
        <v>DESD2ETH1GSOQ</v>
      </c>
      <c r="D376" t="s">
        <v>581</v>
      </c>
      <c r="E376" t="s">
        <v>32</v>
      </c>
      <c r="F376" t="s">
        <v>33</v>
      </c>
      <c r="G376">
        <v>2</v>
      </c>
      <c r="H376" t="s">
        <v>295</v>
      </c>
      <c r="I376">
        <v>1.3</v>
      </c>
      <c r="J376">
        <v>24</v>
      </c>
      <c r="L376">
        <v>0.1</v>
      </c>
      <c r="O376" t="s">
        <v>21</v>
      </c>
      <c r="P376" t="s">
        <v>43</v>
      </c>
    </row>
    <row r="377" spans="1:16">
      <c r="A377" t="s">
        <v>582</v>
      </c>
      <c r="B377" s="2" t="str">
        <f>Hyperlink("https://www.diodes.com/datasheet/download/DESD2ETH1GXSOQ.pdf")</f>
        <v>https://www.diodes.com/datasheet/download/DESD2ETH1GXSOQ.pdf</v>
      </c>
      <c r="C377" t="str">
        <f>Hyperlink("https://www.diodes.com/part/view/DESD2ETH1GXSOQ","DESD2ETH1GXSOQ")</f>
        <v>DESD2ETH1GXSOQ</v>
      </c>
      <c r="D377" t="s">
        <v>579</v>
      </c>
      <c r="E377" t="s">
        <v>32</v>
      </c>
      <c r="F377" t="s">
        <v>33</v>
      </c>
      <c r="G377">
        <v>2</v>
      </c>
      <c r="H377" t="s">
        <v>295</v>
      </c>
      <c r="I377">
        <v>0.9</v>
      </c>
      <c r="J377">
        <v>24</v>
      </c>
      <c r="L377">
        <v>0.1</v>
      </c>
      <c r="M377">
        <v>2.3</v>
      </c>
      <c r="O377" t="s">
        <v>21</v>
      </c>
      <c r="P377" t="s">
        <v>43</v>
      </c>
    </row>
    <row r="378" spans="1:16">
      <c r="A378" t="s">
        <v>583</v>
      </c>
      <c r="B378" s="2" t="str">
        <f>Hyperlink("https://www.diodes.com/datasheet/download/DESD2FLEX2SOQ.pdf")</f>
        <v>https://www.diodes.com/datasheet/download/DESD2FLEX2SOQ.pdf</v>
      </c>
      <c r="C378" t="str">
        <f>Hyperlink("https://www.diodes.com/part/view/DESD2FLEX2SOQ","DESD2FLEX2SOQ")</f>
        <v>DESD2FLEX2SOQ</v>
      </c>
      <c r="D378" t="s">
        <v>555</v>
      </c>
      <c r="E378" t="s">
        <v>32</v>
      </c>
      <c r="F378" t="s">
        <v>33</v>
      </c>
      <c r="G378">
        <v>2</v>
      </c>
      <c r="H378" t="s">
        <v>295</v>
      </c>
      <c r="I378">
        <v>25</v>
      </c>
      <c r="J378">
        <v>24</v>
      </c>
      <c r="K378">
        <v>25.4</v>
      </c>
      <c r="L378">
        <v>0.001</v>
      </c>
      <c r="M378">
        <v>5</v>
      </c>
      <c r="N378">
        <v>41</v>
      </c>
      <c r="O378">
        <v>30</v>
      </c>
      <c r="P378" t="s">
        <v>43</v>
      </c>
    </row>
    <row r="379" spans="1:16">
      <c r="A379" t="s">
        <v>584</v>
      </c>
      <c r="B379" s="2" t="str">
        <f>Hyperlink("https://www.diodes.com/datasheet/download/DESD2IVN27V3WQ.pdf")</f>
        <v>https://www.diodes.com/datasheet/download/DESD2IVN27V3WQ.pdf</v>
      </c>
      <c r="C379" t="str">
        <f>Hyperlink("https://www.diodes.com/part/view/DESD2IVN27V3WQ","DESD2IVN27V3WQ")</f>
        <v>DESD2IVN27V3WQ</v>
      </c>
      <c r="D379" t="s">
        <v>545</v>
      </c>
      <c r="E379" t="s">
        <v>32</v>
      </c>
      <c r="F379" t="s">
        <v>33</v>
      </c>
      <c r="G379">
        <v>2</v>
      </c>
      <c r="H379" t="s">
        <v>295</v>
      </c>
      <c r="I379">
        <v>14</v>
      </c>
      <c r="J379">
        <v>27</v>
      </c>
      <c r="K379">
        <v>28</v>
      </c>
      <c r="L379">
        <v>0.001</v>
      </c>
      <c r="N379">
        <v>45</v>
      </c>
      <c r="O379">
        <v>30</v>
      </c>
      <c r="P379" t="s">
        <v>48</v>
      </c>
    </row>
    <row r="380" spans="1:16">
      <c r="A380" t="s">
        <v>585</v>
      </c>
      <c r="B380" s="2" t="str">
        <f>Hyperlink("https://www.diodes.com/datasheet/download/DESD2V5Z1BCSF.pdf")</f>
        <v>https://www.diodes.com/datasheet/download/DESD2V5Z1BCSF.pdf</v>
      </c>
      <c r="C380" t="str">
        <f>Hyperlink("https://www.diodes.com/part/view/DESD2V5Z1BCSF","DESD2V5Z1BCSF")</f>
        <v>DESD2V5Z1BCSF</v>
      </c>
      <c r="D380" t="s">
        <v>116</v>
      </c>
      <c r="E380" t="s">
        <v>18</v>
      </c>
      <c r="F380" t="s">
        <v>19</v>
      </c>
      <c r="G380">
        <v>1</v>
      </c>
      <c r="H380" t="s">
        <v>28</v>
      </c>
      <c r="I380">
        <v>0.17</v>
      </c>
      <c r="J380">
        <v>2.5</v>
      </c>
      <c r="K380">
        <v>5</v>
      </c>
      <c r="L380">
        <v>1</v>
      </c>
      <c r="N380">
        <v>6</v>
      </c>
      <c r="O380" t="s">
        <v>37</v>
      </c>
      <c r="P380" t="s">
        <v>118</v>
      </c>
    </row>
    <row r="381" spans="1:16">
      <c r="A381" t="s">
        <v>586</v>
      </c>
      <c r="B381" s="2" t="str">
        <f>Hyperlink("https://www.diodes.com/datasheet/download/DESD30VF1BL.pdf")</f>
        <v>https://www.diodes.com/datasheet/download/DESD30VF1BL.pdf</v>
      </c>
      <c r="C381" t="str">
        <f>Hyperlink("https://www.diodes.com/part/view/DESD30VF1BL","DESD30VF1BL")</f>
        <v>DESD30VF1BL</v>
      </c>
      <c r="D381" t="s">
        <v>587</v>
      </c>
      <c r="E381" t="s">
        <v>18</v>
      </c>
      <c r="F381" t="s">
        <v>19</v>
      </c>
      <c r="G381">
        <v>1</v>
      </c>
      <c r="H381" t="s">
        <v>28</v>
      </c>
      <c r="I381">
        <v>0.3</v>
      </c>
      <c r="J381">
        <v>30</v>
      </c>
      <c r="K381">
        <v>31</v>
      </c>
      <c r="L381">
        <v>0.0001</v>
      </c>
      <c r="O381" t="s">
        <v>270</v>
      </c>
      <c r="P381" t="s">
        <v>22</v>
      </c>
    </row>
    <row r="382" spans="1:16">
      <c r="A382" t="s">
        <v>588</v>
      </c>
      <c r="B382" s="2" t="str">
        <f>Hyperlink("https://www.diodes.com/datasheet/download/DESD30VF1BLQ.pdf")</f>
        <v>https://www.diodes.com/datasheet/download/DESD30VF1BLQ.pdf</v>
      </c>
      <c r="C382" t="str">
        <f>Hyperlink("https://www.diodes.com/part/view/DESD30VF1BLQ","DESD30VF1BLQ")</f>
        <v>DESD30VF1BLQ</v>
      </c>
      <c r="D382" t="s">
        <v>589</v>
      </c>
      <c r="E382" t="s">
        <v>32</v>
      </c>
      <c r="F382" t="s">
        <v>33</v>
      </c>
      <c r="G382">
        <v>1</v>
      </c>
      <c r="H382" t="s">
        <v>28</v>
      </c>
      <c r="I382">
        <v>0.3</v>
      </c>
      <c r="J382">
        <v>30</v>
      </c>
      <c r="K382">
        <v>31</v>
      </c>
      <c r="L382">
        <v>0.0001</v>
      </c>
      <c r="O382" t="s">
        <v>270</v>
      </c>
      <c r="P382" t="s">
        <v>22</v>
      </c>
    </row>
    <row r="383" spans="1:16">
      <c r="A383" t="s">
        <v>590</v>
      </c>
      <c r="B383" s="2" t="str">
        <f>Hyperlink("https://www.diodes.com/datasheet/download/DESD32VS2SO.pdf")</f>
        <v>https://www.diodes.com/datasheet/download/DESD32VS2SO.pdf</v>
      </c>
      <c r="C383" t="str">
        <f>Hyperlink("https://www.diodes.com/part/view/DESD32VS2SO","DESD32VS2SO")</f>
        <v>DESD32VS2SO</v>
      </c>
      <c r="D383" t="s">
        <v>591</v>
      </c>
      <c r="E383" t="s">
        <v>18</v>
      </c>
      <c r="F383" t="s">
        <v>33</v>
      </c>
      <c r="G383">
        <v>2</v>
      </c>
      <c r="H383" t="s">
        <v>56</v>
      </c>
      <c r="I383">
        <v>36</v>
      </c>
      <c r="J383">
        <v>32</v>
      </c>
      <c r="K383">
        <v>34</v>
      </c>
      <c r="M383">
        <v>4</v>
      </c>
      <c r="N383">
        <v>50</v>
      </c>
      <c r="O383" t="s">
        <v>21</v>
      </c>
      <c r="P383" t="s">
        <v>43</v>
      </c>
    </row>
    <row r="384" spans="1:16">
      <c r="A384" t="s">
        <v>592</v>
      </c>
      <c r="B384" s="2" t="str">
        <f>Hyperlink("https://www.diodes.com/datasheet/download/DESD32VS2SOQ.pdf")</f>
        <v>https://www.diodes.com/datasheet/download/DESD32VS2SOQ.pdf</v>
      </c>
      <c r="C384" t="str">
        <f>Hyperlink("https://www.diodes.com/part/view/DESD32VS2SOQ","DESD32VS2SOQ")</f>
        <v>DESD32VS2SOQ</v>
      </c>
      <c r="D384" t="s">
        <v>593</v>
      </c>
      <c r="E384" t="s">
        <v>32</v>
      </c>
      <c r="F384" t="s">
        <v>33</v>
      </c>
      <c r="G384">
        <v>2</v>
      </c>
      <c r="H384" t="s">
        <v>56</v>
      </c>
      <c r="I384">
        <v>36</v>
      </c>
      <c r="J384">
        <v>32</v>
      </c>
      <c r="K384">
        <v>34</v>
      </c>
      <c r="L384">
        <v>0.1</v>
      </c>
      <c r="N384">
        <v>50</v>
      </c>
      <c r="O384" t="s">
        <v>21</v>
      </c>
      <c r="P384" t="s">
        <v>43</v>
      </c>
    </row>
    <row r="385" spans="1:16">
      <c r="A385" t="s">
        <v>594</v>
      </c>
      <c r="B385" s="2" t="str">
        <f>Hyperlink("https://www.diodes.com/datasheet/download/DESD34VS2SO.pdf")</f>
        <v>https://www.diodes.com/datasheet/download/DESD34VS2SO.pdf</v>
      </c>
      <c r="C385" t="str">
        <f>Hyperlink("https://www.diodes.com/part/view/DESD34VS2SO","DESD34VS2SO")</f>
        <v>DESD34VS2SO</v>
      </c>
      <c r="D385" t="s">
        <v>595</v>
      </c>
      <c r="E385" t="s">
        <v>18</v>
      </c>
      <c r="F385" t="s">
        <v>33</v>
      </c>
      <c r="G385">
        <v>2</v>
      </c>
      <c r="H385" t="s">
        <v>56</v>
      </c>
      <c r="I385">
        <v>100</v>
      </c>
      <c r="J385">
        <v>34</v>
      </c>
      <c r="K385">
        <v>36</v>
      </c>
      <c r="L385">
        <v>0.001</v>
      </c>
      <c r="M385">
        <v>7</v>
      </c>
      <c r="N385">
        <v>57</v>
      </c>
      <c r="O385">
        <v>30</v>
      </c>
      <c r="P385" t="s">
        <v>43</v>
      </c>
    </row>
    <row r="386" spans="1:16">
      <c r="A386" t="s">
        <v>596</v>
      </c>
      <c r="B386" s="2" t="str">
        <f>Hyperlink("https://www.diodes.com/datasheet/download/DESD34VS2SOQ.pdf")</f>
        <v>https://www.diodes.com/datasheet/download/DESD34VS2SOQ.pdf</v>
      </c>
      <c r="C386" t="str">
        <f>Hyperlink("https://www.diodes.com/part/view/DESD34VS2SOQ","DESD34VS2SOQ")</f>
        <v>DESD34VS2SOQ</v>
      </c>
      <c r="D386" t="s">
        <v>597</v>
      </c>
      <c r="E386" t="s">
        <v>32</v>
      </c>
      <c r="F386" t="s">
        <v>33</v>
      </c>
      <c r="G386">
        <v>2</v>
      </c>
      <c r="H386" t="s">
        <v>56</v>
      </c>
      <c r="I386">
        <v>100</v>
      </c>
      <c r="J386">
        <v>34</v>
      </c>
      <c r="K386">
        <v>36</v>
      </c>
      <c r="L386">
        <v>5</v>
      </c>
      <c r="M386">
        <v>7</v>
      </c>
      <c r="N386">
        <v>57</v>
      </c>
      <c r="O386" t="s">
        <v>21</v>
      </c>
      <c r="P386" t="s">
        <v>43</v>
      </c>
    </row>
    <row r="387" spans="1:16">
      <c r="A387" t="s">
        <v>598</v>
      </c>
      <c r="B387" s="2" t="str">
        <f>Hyperlink("https://www.diodes.com/datasheet/download/DESD3512SO.pdf")</f>
        <v>https://www.diodes.com/datasheet/download/DESD3512SO.pdf</v>
      </c>
      <c r="C387" t="str">
        <f>Hyperlink("https://www.diodes.com/part/view/DESD3512SO","DESD3512SO")</f>
        <v>DESD3512SO</v>
      </c>
      <c r="D387" t="s">
        <v>545</v>
      </c>
      <c r="E387" t="s">
        <v>18</v>
      </c>
      <c r="F387" t="s">
        <v>19</v>
      </c>
      <c r="G387">
        <v>2</v>
      </c>
      <c r="H387" t="s">
        <v>295</v>
      </c>
      <c r="I387">
        <v>32</v>
      </c>
      <c r="J387">
        <v>35</v>
      </c>
      <c r="K387">
        <v>36</v>
      </c>
      <c r="L387">
        <v>0.5</v>
      </c>
      <c r="M387">
        <v>4</v>
      </c>
      <c r="N387">
        <v>60</v>
      </c>
      <c r="O387">
        <v>30</v>
      </c>
      <c r="P387" t="s">
        <v>43</v>
      </c>
    </row>
    <row r="388" spans="1:16">
      <c r="A388" t="s">
        <v>599</v>
      </c>
      <c r="B388" s="2" t="str">
        <f>Hyperlink("https://www.diodes.com/datasheet/download/DESD35VF1BL.pdf")</f>
        <v>https://www.diodes.com/datasheet/download/DESD35VF1BL.pdf</v>
      </c>
      <c r="C388" t="str">
        <f>Hyperlink("https://www.diodes.com/part/view/DESD35VF1BL","DESD35VF1BL")</f>
        <v>DESD35VF1BL</v>
      </c>
      <c r="D388" t="s">
        <v>116</v>
      </c>
      <c r="E388" t="s">
        <v>18</v>
      </c>
      <c r="F388" t="s">
        <v>19</v>
      </c>
      <c r="G388">
        <v>1</v>
      </c>
      <c r="H388" t="s">
        <v>28</v>
      </c>
      <c r="I388">
        <v>0.3</v>
      </c>
      <c r="J388">
        <v>35</v>
      </c>
      <c r="K388">
        <v>36</v>
      </c>
      <c r="L388">
        <v>0.03</v>
      </c>
      <c r="N388">
        <v>20</v>
      </c>
      <c r="O388" t="s">
        <v>117</v>
      </c>
      <c r="P388" t="s">
        <v>22</v>
      </c>
    </row>
    <row r="389" spans="1:16">
      <c r="A389" t="s">
        <v>600</v>
      </c>
      <c r="B389" s="2" t="str">
        <f>Hyperlink("https://www.diodes.com/datasheet/download/DESD35VF1BLP3.pdf")</f>
        <v>https://www.diodes.com/datasheet/download/DESD35VF1BLP3.pdf</v>
      </c>
      <c r="C389" t="str">
        <f>Hyperlink("https://www.diodes.com/part/view/DESD35VF1BLP3","DESD35VF1BLP3")</f>
        <v>DESD35VF1BLP3</v>
      </c>
      <c r="D389" t="s">
        <v>601</v>
      </c>
      <c r="E389" t="s">
        <v>18</v>
      </c>
      <c r="F389" t="s">
        <v>19</v>
      </c>
      <c r="G389">
        <v>1</v>
      </c>
      <c r="H389" t="s">
        <v>28</v>
      </c>
      <c r="I389">
        <v>0.3</v>
      </c>
      <c r="J389">
        <v>35</v>
      </c>
      <c r="K389">
        <v>36</v>
      </c>
      <c r="L389">
        <v>1</v>
      </c>
      <c r="N389">
        <v>20</v>
      </c>
      <c r="O389" t="s">
        <v>117</v>
      </c>
      <c r="P389" t="s">
        <v>326</v>
      </c>
    </row>
    <row r="390" spans="1:16">
      <c r="A390" t="s">
        <v>602</v>
      </c>
      <c r="B390" s="2" t="str">
        <f>Hyperlink("https://www.diodes.com/datasheet/download/DESD35VF1BLQ.pdf")</f>
        <v>https://www.diodes.com/datasheet/download/DESD35VF1BLQ.pdf</v>
      </c>
      <c r="C390" t="str">
        <f>Hyperlink("https://www.diodes.com/part/view/DESD35VF1BLQ","DESD35VF1BLQ")</f>
        <v>DESD35VF1BLQ</v>
      </c>
      <c r="D390" t="s">
        <v>601</v>
      </c>
      <c r="E390" t="s">
        <v>32</v>
      </c>
      <c r="F390" t="s">
        <v>33</v>
      </c>
      <c r="G390">
        <v>1</v>
      </c>
      <c r="H390" t="s">
        <v>28</v>
      </c>
      <c r="I390">
        <v>0.3</v>
      </c>
      <c r="J390">
        <v>35</v>
      </c>
      <c r="K390">
        <v>36</v>
      </c>
      <c r="L390">
        <v>0.03</v>
      </c>
      <c r="N390">
        <v>40</v>
      </c>
      <c r="O390" t="s">
        <v>154</v>
      </c>
      <c r="P390" t="s">
        <v>22</v>
      </c>
    </row>
    <row r="391" spans="1:16">
      <c r="A391" t="s">
        <v>603</v>
      </c>
      <c r="B391" s="2" t="str">
        <f>Hyperlink("https://www.diodes.com/datasheet/download/DESDxxVxS2UTQ+SERIES.pdf")</f>
        <v>https://www.diodes.com/datasheet/download/DESDxxVxS2UTQ+SERIES.pdf</v>
      </c>
      <c r="C391" t="str">
        <f>Hyperlink("https://www.diodes.com/part/view/DESD36VS2UTQ","DESD36VS2UTQ")</f>
        <v>DESD36VS2UTQ</v>
      </c>
      <c r="D391" t="s">
        <v>536</v>
      </c>
      <c r="E391" t="s">
        <v>32</v>
      </c>
      <c r="F391" t="s">
        <v>33</v>
      </c>
      <c r="G391">
        <v>2</v>
      </c>
      <c r="H391" t="s">
        <v>56</v>
      </c>
      <c r="I391">
        <v>20</v>
      </c>
      <c r="J391">
        <v>36</v>
      </c>
      <c r="K391">
        <v>40</v>
      </c>
      <c r="L391">
        <v>0.5</v>
      </c>
      <c r="N391">
        <v>65</v>
      </c>
      <c r="O391" t="s">
        <v>21</v>
      </c>
      <c r="P391" t="s">
        <v>43</v>
      </c>
    </row>
    <row r="392" spans="1:16">
      <c r="A392" t="s">
        <v>604</v>
      </c>
      <c r="B392" s="2" t="str">
        <f>Hyperlink("https://www.diodes.com/datasheet/download/DESD3V3E1BL.pdf")</f>
        <v>https://www.diodes.com/datasheet/download/DESD3V3E1BL.pdf</v>
      </c>
      <c r="C392" t="str">
        <f>Hyperlink("https://www.diodes.com/part/view/DESD3V3E1BL","DESD3V3E1BL")</f>
        <v>DESD3V3E1BL</v>
      </c>
      <c r="D392" t="s">
        <v>362</v>
      </c>
      <c r="E392" t="s">
        <v>18</v>
      </c>
      <c r="F392" t="s">
        <v>19</v>
      </c>
      <c r="G392">
        <v>1</v>
      </c>
      <c r="H392" t="s">
        <v>28</v>
      </c>
      <c r="I392">
        <v>13</v>
      </c>
      <c r="J392">
        <v>3.3</v>
      </c>
      <c r="K392">
        <v>3.8</v>
      </c>
      <c r="L392">
        <v>1</v>
      </c>
      <c r="N392">
        <v>7</v>
      </c>
      <c r="O392">
        <v>25</v>
      </c>
      <c r="P392" t="s">
        <v>22</v>
      </c>
    </row>
    <row r="393" spans="1:16">
      <c r="A393" t="s">
        <v>605</v>
      </c>
      <c r="B393" s="2" t="str">
        <f>Hyperlink("https://www.diodes.com/datasheet/download/DESD3V3L1BAQ+DESD24VL1BAQ.pdf")</f>
        <v>https://www.diodes.com/datasheet/download/DESD3V3L1BAQ+DESD24VL1BAQ.pdf</v>
      </c>
      <c r="C393" t="str">
        <f>Hyperlink("https://www.diodes.com/part/view/DESD3V3L1BAQ","DESD3V3L1BAQ")</f>
        <v>DESD3V3L1BAQ</v>
      </c>
      <c r="D393" t="s">
        <v>116</v>
      </c>
      <c r="E393" t="s">
        <v>32</v>
      </c>
      <c r="F393" t="s">
        <v>33</v>
      </c>
      <c r="G393">
        <v>1</v>
      </c>
      <c r="H393" t="s">
        <v>28</v>
      </c>
      <c r="I393">
        <v>56</v>
      </c>
      <c r="J393">
        <v>3.3</v>
      </c>
      <c r="K393">
        <v>3.75</v>
      </c>
      <c r="N393">
        <v>10</v>
      </c>
      <c r="O393" t="s">
        <v>21</v>
      </c>
      <c r="P393" t="s">
        <v>51</v>
      </c>
    </row>
    <row r="394" spans="1:16">
      <c r="A394" t="s">
        <v>606</v>
      </c>
      <c r="B394" s="2" t="str">
        <f>Hyperlink("https://www.diodes.com/datasheet/download/DESD3V3L2BTQ+DESD24VL2BTQ.pdf")</f>
        <v>https://www.diodes.com/datasheet/download/DESD3V3L2BTQ+DESD24VL2BTQ.pdf</v>
      </c>
      <c r="C394" t="str">
        <f>Hyperlink("https://www.diodes.com/part/view/DESD3V3L2BTQ","DESD3V3L2BTQ")</f>
        <v>DESD3V3L2BTQ</v>
      </c>
      <c r="D394" t="s">
        <v>534</v>
      </c>
      <c r="E394" t="s">
        <v>32</v>
      </c>
      <c r="F394" t="s">
        <v>33</v>
      </c>
      <c r="G394">
        <v>2</v>
      </c>
      <c r="H394" t="s">
        <v>295</v>
      </c>
      <c r="I394">
        <v>55</v>
      </c>
      <c r="J394">
        <v>3.3</v>
      </c>
      <c r="K394">
        <v>3.75</v>
      </c>
      <c r="L394">
        <v>1</v>
      </c>
      <c r="N394">
        <v>10</v>
      </c>
      <c r="O394">
        <v>30</v>
      </c>
      <c r="P394" t="s">
        <v>43</v>
      </c>
    </row>
    <row r="395" spans="1:16">
      <c r="A395" t="s">
        <v>607</v>
      </c>
      <c r="B395" s="2" t="str">
        <f>Hyperlink("https://www.diodes.com/datasheet/download/DESD3V3S1BL+.pdf")</f>
        <v>https://www.diodes.com/datasheet/download/DESD3V3S1BL+.pdf</v>
      </c>
      <c r="C395" t="str">
        <f>Hyperlink("https://www.diodes.com/part/view/DESD3V3S1BL","DESD3V3S1BL")</f>
        <v>DESD3V3S1BL</v>
      </c>
      <c r="D395" t="s">
        <v>608</v>
      </c>
      <c r="E395" t="s">
        <v>18</v>
      </c>
      <c r="F395" t="s">
        <v>19</v>
      </c>
      <c r="G395">
        <v>1</v>
      </c>
      <c r="H395" t="s">
        <v>28</v>
      </c>
      <c r="I395">
        <v>10</v>
      </c>
      <c r="J395">
        <v>3.3</v>
      </c>
      <c r="K395">
        <v>3.8</v>
      </c>
      <c r="L395">
        <v>0.01</v>
      </c>
      <c r="M395">
        <v>5</v>
      </c>
      <c r="N395">
        <v>7</v>
      </c>
      <c r="O395">
        <v>25</v>
      </c>
      <c r="P395" t="s">
        <v>22</v>
      </c>
    </row>
    <row r="396" spans="1:16">
      <c r="A396" t="s">
        <v>609</v>
      </c>
      <c r="B396" s="2" t="str">
        <f>Hyperlink("https://www.diodes.com/datasheet/download/DESD3V3S1BLP3.pdf")</f>
        <v>https://www.diodes.com/datasheet/download/DESD3V3S1BLP3.pdf</v>
      </c>
      <c r="C396" t="str">
        <f>Hyperlink("https://www.diodes.com/part/view/DESD3V3S1BLP3","DESD3V3S1BLP3")</f>
        <v>DESD3V3S1BLP3</v>
      </c>
      <c r="D396" t="s">
        <v>609</v>
      </c>
      <c r="E396" t="s">
        <v>18</v>
      </c>
      <c r="F396" t="s">
        <v>19</v>
      </c>
      <c r="G396">
        <v>1</v>
      </c>
      <c r="H396" t="s">
        <v>28</v>
      </c>
      <c r="I396">
        <v>10</v>
      </c>
      <c r="J396">
        <v>3.3</v>
      </c>
      <c r="K396">
        <v>3.8</v>
      </c>
      <c r="L396">
        <v>0.01</v>
      </c>
      <c r="M396">
        <v>5</v>
      </c>
      <c r="N396">
        <v>7</v>
      </c>
      <c r="O396">
        <v>25</v>
      </c>
      <c r="P396" t="s">
        <v>100</v>
      </c>
    </row>
    <row r="397" spans="1:16">
      <c r="A397" t="s">
        <v>610</v>
      </c>
      <c r="B397" s="2" t="str">
        <f>Hyperlink("https://www.diodes.com/datasheet/download/DESD3V3S1BLQ.pdf")</f>
        <v>https://www.diodes.com/datasheet/download/DESD3V3S1BLQ.pdf</v>
      </c>
      <c r="C397" t="str">
        <f>Hyperlink("https://www.diodes.com/part/view/DESD3V3S1BLQ","DESD3V3S1BLQ")</f>
        <v>DESD3V3S1BLQ</v>
      </c>
      <c r="D397" t="s">
        <v>362</v>
      </c>
      <c r="E397" t="s">
        <v>32</v>
      </c>
      <c r="F397" t="s">
        <v>33</v>
      </c>
      <c r="G397">
        <v>1</v>
      </c>
      <c r="H397" t="s">
        <v>28</v>
      </c>
      <c r="I397">
        <v>10</v>
      </c>
      <c r="J397">
        <v>3.3</v>
      </c>
      <c r="K397">
        <v>3.8</v>
      </c>
      <c r="L397">
        <v>0.1</v>
      </c>
      <c r="M397">
        <v>5</v>
      </c>
      <c r="N397">
        <v>7</v>
      </c>
      <c r="O397" t="s">
        <v>54</v>
      </c>
      <c r="P397" t="s">
        <v>22</v>
      </c>
    </row>
    <row r="398" spans="1:16">
      <c r="A398" t="s">
        <v>611</v>
      </c>
      <c r="B398" s="2" t="str">
        <f>Hyperlink("https://www.diodes.com/datasheet/download/DESDxxVxS2UTQ+SERIES.pdf")</f>
        <v>https://www.diodes.com/datasheet/download/DESDxxVxS2UTQ+SERIES.pdf</v>
      </c>
      <c r="C398" t="str">
        <f>Hyperlink("https://www.diodes.com/part/view/DESD3V3S2UTQ","DESD3V3S2UTQ")</f>
        <v>DESD3V3S2UTQ</v>
      </c>
      <c r="D398" t="s">
        <v>536</v>
      </c>
      <c r="E398" t="s">
        <v>32</v>
      </c>
      <c r="F398" t="s">
        <v>33</v>
      </c>
      <c r="G398">
        <v>2</v>
      </c>
      <c r="H398" t="s">
        <v>56</v>
      </c>
      <c r="I398">
        <v>180</v>
      </c>
      <c r="J398">
        <v>3.3</v>
      </c>
      <c r="K398">
        <v>5.2</v>
      </c>
      <c r="L398">
        <v>1</v>
      </c>
      <c r="N398">
        <v>12</v>
      </c>
      <c r="O398" t="s">
        <v>21</v>
      </c>
      <c r="P398" t="s">
        <v>43</v>
      </c>
    </row>
    <row r="399" spans="1:16">
      <c r="A399" t="s">
        <v>612</v>
      </c>
      <c r="B399" s="2" t="str">
        <f>Hyperlink("https://www.diodes.com/datasheet/download/DESD3V3X1BCSF.pdf")</f>
        <v>https://www.diodes.com/datasheet/download/DESD3V3X1BCSF.pdf</v>
      </c>
      <c r="C399" t="str">
        <f>Hyperlink("https://www.diodes.com/part/view/DESD3V3X1BCSF","DESD3V3X1BCSF")</f>
        <v>DESD3V3X1BCSF</v>
      </c>
      <c r="D399" t="s">
        <v>362</v>
      </c>
      <c r="E399" t="s">
        <v>18</v>
      </c>
      <c r="F399" t="s">
        <v>19</v>
      </c>
      <c r="G399">
        <v>1</v>
      </c>
      <c r="H399" t="s">
        <v>28</v>
      </c>
      <c r="I399">
        <v>0.21</v>
      </c>
      <c r="J399">
        <v>3.3</v>
      </c>
      <c r="K399">
        <v>5</v>
      </c>
      <c r="O399">
        <v>10</v>
      </c>
      <c r="P399" t="s">
        <v>118</v>
      </c>
    </row>
    <row r="400" spans="1:16">
      <c r="A400" t="s">
        <v>613</v>
      </c>
      <c r="B400" s="2" t="str">
        <f>Hyperlink("https://www.diodes.com/datasheet/download/DESD3V3XA1BCSF.pdf")</f>
        <v>https://www.diodes.com/datasheet/download/DESD3V3XA1BCSF.pdf</v>
      </c>
      <c r="C400" t="str">
        <f>Hyperlink("https://www.diodes.com/part/view/DESD3V3XA1BCSF","DESD3V3XA1BCSF")</f>
        <v>DESD3V3XA1BCSF</v>
      </c>
      <c r="D400" t="s">
        <v>362</v>
      </c>
      <c r="E400" t="s">
        <v>18</v>
      </c>
      <c r="F400" t="s">
        <v>19</v>
      </c>
      <c r="G400">
        <v>1</v>
      </c>
      <c r="H400" t="s">
        <v>28</v>
      </c>
      <c r="I400">
        <v>0.3</v>
      </c>
      <c r="J400">
        <v>3.3</v>
      </c>
      <c r="K400">
        <v>5</v>
      </c>
      <c r="O400">
        <v>16</v>
      </c>
      <c r="P400" t="s">
        <v>118</v>
      </c>
    </row>
    <row r="401" spans="1:16">
      <c r="A401" t="s">
        <v>614</v>
      </c>
      <c r="B401" s="2" t="str">
        <f>Hyperlink("https://www.diodes.com/datasheet/download/DESD3V3Z1BCSF.pdf")</f>
        <v>https://www.diodes.com/datasheet/download/DESD3V3Z1BCSF.pdf</v>
      </c>
      <c r="C401" t="str">
        <f>Hyperlink("https://www.diodes.com/part/view/DESD3V3Z1BCSF","DESD3V3Z1BCSF")</f>
        <v>DESD3V3Z1BCSF</v>
      </c>
      <c r="D401" t="s">
        <v>116</v>
      </c>
      <c r="E401" t="s">
        <v>18</v>
      </c>
      <c r="F401" t="s">
        <v>19</v>
      </c>
      <c r="G401">
        <v>1</v>
      </c>
      <c r="H401" t="s">
        <v>28</v>
      </c>
      <c r="I401">
        <v>0.17</v>
      </c>
      <c r="J401">
        <v>3.3</v>
      </c>
      <c r="K401">
        <v>5</v>
      </c>
      <c r="L401">
        <v>0.3</v>
      </c>
      <c r="N401">
        <v>8</v>
      </c>
      <c r="O401">
        <v>8</v>
      </c>
      <c r="P401" t="s">
        <v>615</v>
      </c>
    </row>
    <row r="402" spans="1:16">
      <c r="A402" t="s">
        <v>616</v>
      </c>
      <c r="B402" s="2" t="str">
        <f>Hyperlink("https://www.diodes.com/datasheet/download/DESD3V3Z1BCSFQ.pdf")</f>
        <v>https://www.diodes.com/datasheet/download/DESD3V3Z1BCSFQ.pdf</v>
      </c>
      <c r="C402" t="str">
        <f>Hyperlink("https://www.diodes.com/part/view/DESD3V3Z1BCSFQ","DESD3V3Z1BCSFQ")</f>
        <v>DESD3V3Z1BCSFQ</v>
      </c>
      <c r="D402" t="s">
        <v>116</v>
      </c>
      <c r="E402" t="s">
        <v>32</v>
      </c>
      <c r="F402" t="s">
        <v>33</v>
      </c>
      <c r="G402">
        <v>1</v>
      </c>
      <c r="H402" t="s">
        <v>28</v>
      </c>
      <c r="I402">
        <v>0.17</v>
      </c>
      <c r="J402">
        <v>3.3</v>
      </c>
      <c r="K402">
        <v>5</v>
      </c>
      <c r="L402">
        <v>1</v>
      </c>
      <c r="N402">
        <v>8</v>
      </c>
      <c r="O402">
        <v>8</v>
      </c>
      <c r="P402" t="s">
        <v>118</v>
      </c>
    </row>
    <row r="403" spans="1:16">
      <c r="A403" t="s">
        <v>617</v>
      </c>
      <c r="B403" s="2" t="str">
        <f>Hyperlink("https://www.diodes.com/datasheet/download/DESD3V3ZS1BLP3.pdf")</f>
        <v>https://www.diodes.com/datasheet/download/DESD3V3ZS1BLP3.pdf</v>
      </c>
      <c r="C403" t="str">
        <f>Hyperlink("https://www.diodes.com/part/view/DESD3V3ZS1BLP3","DESD3V3ZS1BLP3")</f>
        <v>DESD3V3ZS1BLP3</v>
      </c>
      <c r="D403" t="s">
        <v>31</v>
      </c>
      <c r="E403" t="s">
        <v>18</v>
      </c>
      <c r="F403" t="s">
        <v>19</v>
      </c>
      <c r="G403">
        <v>1</v>
      </c>
      <c r="H403" t="s">
        <v>28</v>
      </c>
      <c r="I403">
        <v>0.15</v>
      </c>
      <c r="J403">
        <v>3.3</v>
      </c>
      <c r="K403">
        <v>5</v>
      </c>
      <c r="L403">
        <v>0.1</v>
      </c>
      <c r="N403">
        <v>6.7</v>
      </c>
      <c r="O403">
        <v>14</v>
      </c>
      <c r="P403" t="s">
        <v>100</v>
      </c>
    </row>
    <row r="404" spans="1:16">
      <c r="A404" t="s">
        <v>618</v>
      </c>
      <c r="B404" s="2" t="str">
        <f>Hyperlink("https://www.diodes.com/datasheet/download/DESD3V3L1BAQ+DESD24VL1BAQ.pdf")</f>
        <v>https://www.diodes.com/datasheet/download/DESD3V3L1BAQ+DESD24VL1BAQ.pdf</v>
      </c>
      <c r="C404" t="str">
        <f>Hyperlink("https://www.diodes.com/part/view/DESD5V0L1BAQ","DESD5V0L1BAQ")</f>
        <v>DESD5V0L1BAQ</v>
      </c>
      <c r="D404" t="s">
        <v>116</v>
      </c>
      <c r="E404" t="s">
        <v>32</v>
      </c>
      <c r="F404" t="s">
        <v>33</v>
      </c>
      <c r="G404">
        <v>1</v>
      </c>
      <c r="H404" t="s">
        <v>28</v>
      </c>
      <c r="I404">
        <v>46</v>
      </c>
      <c r="J404">
        <v>5</v>
      </c>
      <c r="K404">
        <v>6</v>
      </c>
      <c r="N404">
        <v>12</v>
      </c>
      <c r="O404" t="s">
        <v>21</v>
      </c>
      <c r="P404" t="s">
        <v>51</v>
      </c>
    </row>
    <row r="405" spans="1:16">
      <c r="A405" t="s">
        <v>619</v>
      </c>
      <c r="B405" s="2" t="str">
        <f>Hyperlink("https://www.diodes.com/datasheet/download/DESD3V3L2BTQ+DESD24VL2BTQ.pdf")</f>
        <v>https://www.diodes.com/datasheet/download/DESD3V3L2BTQ+DESD24VL2BTQ.pdf</v>
      </c>
      <c r="C405" t="str">
        <f>Hyperlink("https://www.diodes.com/part/view/DESD5V0L2BTQ","DESD5V0L2BTQ")</f>
        <v>DESD5V0L2BTQ</v>
      </c>
      <c r="D405" t="s">
        <v>534</v>
      </c>
      <c r="E405" t="s">
        <v>32</v>
      </c>
      <c r="F405" t="s">
        <v>33</v>
      </c>
      <c r="G405">
        <v>2</v>
      </c>
      <c r="H405" t="s">
        <v>295</v>
      </c>
      <c r="I405">
        <v>45</v>
      </c>
      <c r="J405">
        <v>5</v>
      </c>
      <c r="K405">
        <v>6</v>
      </c>
      <c r="L405">
        <v>1</v>
      </c>
      <c r="N405">
        <v>12</v>
      </c>
      <c r="O405">
        <v>30</v>
      </c>
      <c r="P405" t="s">
        <v>43</v>
      </c>
    </row>
    <row r="406" spans="1:16">
      <c r="A406" t="s">
        <v>620</v>
      </c>
      <c r="B406" s="2" t="str">
        <f>Hyperlink("https://www.diodes.com/datasheet/download/DESD5V0S1BA.pdf")</f>
        <v>https://www.diodes.com/datasheet/download/DESD5V0S1BA.pdf</v>
      </c>
      <c r="C406" t="str">
        <f>Hyperlink("https://www.diodes.com/part/view/DESD5V0S1BA","DESD5V0S1BA")</f>
        <v>DESD5V0S1BA</v>
      </c>
      <c r="E406" t="s">
        <v>18</v>
      </c>
      <c r="F406" t="s">
        <v>19</v>
      </c>
      <c r="G406">
        <v>1</v>
      </c>
      <c r="H406" t="s">
        <v>28</v>
      </c>
      <c r="I406">
        <v>35</v>
      </c>
      <c r="J406">
        <v>5</v>
      </c>
      <c r="K406">
        <v>5.5</v>
      </c>
      <c r="L406">
        <v>0.005</v>
      </c>
      <c r="N406">
        <v>12</v>
      </c>
      <c r="O406">
        <v>30</v>
      </c>
      <c r="P406" t="s">
        <v>51</v>
      </c>
    </row>
    <row r="407" spans="1:16">
      <c r="A407" t="s">
        <v>621</v>
      </c>
      <c r="B407" s="2" t="str">
        <f>Hyperlink("https://www.diodes.com/datasheet/download/DESD5V0S1BAQ.pdf")</f>
        <v>https://www.diodes.com/datasheet/download/DESD5V0S1BAQ.pdf</v>
      </c>
      <c r="C407" t="str">
        <f>Hyperlink("https://www.diodes.com/part/view/DESD5V0S1BAQ","DESD5V0S1BAQ")</f>
        <v>DESD5V0S1BAQ</v>
      </c>
      <c r="D407" t="s">
        <v>116</v>
      </c>
      <c r="E407" t="s">
        <v>32</v>
      </c>
      <c r="F407" t="s">
        <v>33</v>
      </c>
      <c r="G407">
        <v>1</v>
      </c>
      <c r="H407" t="s">
        <v>28</v>
      </c>
      <c r="I407">
        <v>35</v>
      </c>
      <c r="J407">
        <v>5</v>
      </c>
      <c r="K407">
        <v>5.5</v>
      </c>
      <c r="L407">
        <v>0.005</v>
      </c>
      <c r="N407">
        <v>14</v>
      </c>
      <c r="O407">
        <v>30</v>
      </c>
      <c r="P407" t="s">
        <v>51</v>
      </c>
    </row>
    <row r="408" spans="1:16">
      <c r="A408" t="s">
        <v>622</v>
      </c>
      <c r="B408" s="2" t="str">
        <f>Hyperlink("https://www.diodes.com/datasheet/download/DESD5V0S1BB.pdf")</f>
        <v>https://www.diodes.com/datasheet/download/DESD5V0S1BB.pdf</v>
      </c>
      <c r="C408" t="str">
        <f>Hyperlink("https://www.diodes.com/part/view/DESD5V0S1BB","DESD5V0S1BB")</f>
        <v>DESD5V0S1BB</v>
      </c>
      <c r="E408" t="s">
        <v>18</v>
      </c>
      <c r="F408" t="s">
        <v>19</v>
      </c>
      <c r="G408">
        <v>1</v>
      </c>
      <c r="H408" t="s">
        <v>28</v>
      </c>
      <c r="I408">
        <v>35</v>
      </c>
      <c r="J408">
        <v>5</v>
      </c>
      <c r="K408">
        <v>5.5</v>
      </c>
      <c r="L408">
        <v>0.005</v>
      </c>
      <c r="M408">
        <v>12</v>
      </c>
      <c r="N408">
        <v>12</v>
      </c>
      <c r="O408">
        <v>30</v>
      </c>
      <c r="P408" t="s">
        <v>45</v>
      </c>
    </row>
    <row r="409" spans="1:16">
      <c r="A409" t="s">
        <v>623</v>
      </c>
      <c r="B409" s="2" t="str">
        <f>Hyperlink("https://www.diodes.com/datasheet/download/DESD5V0S1BL.pdf")</f>
        <v>https://www.diodes.com/datasheet/download/DESD5V0S1BL.pdf</v>
      </c>
      <c r="C409" t="str">
        <f>Hyperlink("https://www.diodes.com/part/view/DESD5V0S1BL","DESD5V0S1BL")</f>
        <v>DESD5V0S1BL</v>
      </c>
      <c r="E409" t="s">
        <v>18</v>
      </c>
      <c r="F409" t="s">
        <v>19</v>
      </c>
      <c r="G409">
        <v>1</v>
      </c>
      <c r="H409" t="s">
        <v>28</v>
      </c>
      <c r="I409">
        <v>35</v>
      </c>
      <c r="J409">
        <v>5</v>
      </c>
      <c r="K409">
        <v>5.5</v>
      </c>
      <c r="L409">
        <v>0.005</v>
      </c>
      <c r="M409">
        <v>12</v>
      </c>
      <c r="N409">
        <v>12</v>
      </c>
      <c r="O409">
        <v>30</v>
      </c>
      <c r="P409" t="s">
        <v>22</v>
      </c>
    </row>
    <row r="410" spans="1:16">
      <c r="A410" t="s">
        <v>624</v>
      </c>
      <c r="B410" s="2" t="str">
        <f>Hyperlink("https://www.diodes.com/datasheet/download/DESD5V0S1BLD.pdf")</f>
        <v>https://www.diodes.com/datasheet/download/DESD5V0S1BLD.pdf</v>
      </c>
      <c r="C410" t="str">
        <f>Hyperlink("https://www.diodes.com/part/view/DESD5V0S1BLD","DESD5V0S1BLD")</f>
        <v>DESD5V0S1BLD</v>
      </c>
      <c r="E410" t="s">
        <v>18</v>
      </c>
      <c r="F410" t="s">
        <v>19</v>
      </c>
      <c r="G410">
        <v>1</v>
      </c>
      <c r="H410" t="s">
        <v>28</v>
      </c>
      <c r="I410">
        <v>35</v>
      </c>
      <c r="J410">
        <v>5</v>
      </c>
      <c r="K410">
        <v>5.5</v>
      </c>
      <c r="L410">
        <v>0.005</v>
      </c>
      <c r="M410">
        <v>12</v>
      </c>
      <c r="N410">
        <v>12</v>
      </c>
      <c r="O410">
        <v>30</v>
      </c>
      <c r="P410" t="s">
        <v>34</v>
      </c>
    </row>
    <row r="411" spans="1:16">
      <c r="A411" t="s">
        <v>625</v>
      </c>
      <c r="B411" s="2" t="str">
        <f>Hyperlink("https://www.diodes.com/datasheet/download/DESD5V0S1BLP3.pdf")</f>
        <v>https://www.diodes.com/datasheet/download/DESD5V0S1BLP3.pdf</v>
      </c>
      <c r="C411" t="str">
        <f>Hyperlink("https://www.diodes.com/part/view/DESD5V0S1BLP3","DESD5V0S1BLP3")</f>
        <v>DESD5V0S1BLP3</v>
      </c>
      <c r="E411" t="s">
        <v>18</v>
      </c>
      <c r="F411" t="s">
        <v>19</v>
      </c>
      <c r="G411">
        <v>1</v>
      </c>
      <c r="H411" t="s">
        <v>28</v>
      </c>
      <c r="I411">
        <v>22</v>
      </c>
      <c r="J411">
        <v>5</v>
      </c>
      <c r="K411">
        <v>5.5</v>
      </c>
      <c r="L411">
        <v>0.003</v>
      </c>
      <c r="M411">
        <v>10</v>
      </c>
      <c r="N411">
        <v>14.5</v>
      </c>
      <c r="O411">
        <v>30</v>
      </c>
      <c r="P411" t="s">
        <v>100</v>
      </c>
    </row>
    <row r="412" spans="1:16">
      <c r="A412" t="s">
        <v>626</v>
      </c>
      <c r="B412" s="2" t="str">
        <f>Hyperlink("https://www.diodes.com/datasheet/download/DESD5V0U1BA.pdf")</f>
        <v>https://www.diodes.com/datasheet/download/DESD5V0U1BA.pdf</v>
      </c>
      <c r="C412" t="str">
        <f>Hyperlink("https://www.diodes.com/part/view/DESD5V0U1BA","DESD5V0U1BA")</f>
        <v>DESD5V0U1BA</v>
      </c>
      <c r="E412" t="s">
        <v>18</v>
      </c>
      <c r="F412" t="s">
        <v>19</v>
      </c>
      <c r="G412">
        <v>1</v>
      </c>
      <c r="H412" t="s">
        <v>28</v>
      </c>
      <c r="I412">
        <v>2.9</v>
      </c>
      <c r="J412">
        <v>5</v>
      </c>
      <c r="K412">
        <v>5.5</v>
      </c>
      <c r="L412">
        <v>0.005</v>
      </c>
      <c r="M412">
        <v>3</v>
      </c>
      <c r="N412">
        <v>8.5</v>
      </c>
      <c r="O412" t="s">
        <v>199</v>
      </c>
      <c r="P412" t="s">
        <v>51</v>
      </c>
    </row>
    <row r="413" spans="1:16">
      <c r="A413" t="s">
        <v>627</v>
      </c>
      <c r="B413" s="2" t="str">
        <f>Hyperlink("https://www.diodes.com/datasheet/download/DESD5V0U1BB.pdf")</f>
        <v>https://www.diodes.com/datasheet/download/DESD5V0U1BB.pdf</v>
      </c>
      <c r="C413" t="str">
        <f>Hyperlink("https://www.diodes.com/part/view/DESD5V0U1BB","DESD5V0U1BB")</f>
        <v>DESD5V0U1BB</v>
      </c>
      <c r="D413" t="s">
        <v>116</v>
      </c>
      <c r="E413" t="s">
        <v>18</v>
      </c>
      <c r="F413" t="s">
        <v>19</v>
      </c>
      <c r="G413">
        <v>1</v>
      </c>
      <c r="H413" t="s">
        <v>28</v>
      </c>
      <c r="I413">
        <v>2.9</v>
      </c>
      <c r="J413">
        <v>5</v>
      </c>
      <c r="K413">
        <v>5.5</v>
      </c>
      <c r="L413">
        <v>0.005</v>
      </c>
      <c r="M413">
        <v>3</v>
      </c>
      <c r="N413">
        <v>8.5</v>
      </c>
      <c r="P413" t="s">
        <v>45</v>
      </c>
    </row>
    <row r="414" spans="1:16">
      <c r="A414" t="s">
        <v>628</v>
      </c>
      <c r="B414" s="2" t="str">
        <f>Hyperlink("https://www.diodes.com/datasheet/download/DESD5V0U1BL.pdf")</f>
        <v>https://www.diodes.com/datasheet/download/DESD5V0U1BL.pdf</v>
      </c>
      <c r="C414" t="str">
        <f>Hyperlink("https://www.diodes.com/part/view/DESD5V0U1BL","DESD5V0U1BL")</f>
        <v>DESD5V0U1BL</v>
      </c>
      <c r="D414" t="s">
        <v>116</v>
      </c>
      <c r="E414" t="s">
        <v>18</v>
      </c>
      <c r="F414" t="s">
        <v>19</v>
      </c>
      <c r="G414">
        <v>1</v>
      </c>
      <c r="H414" t="s">
        <v>28</v>
      </c>
      <c r="I414">
        <v>2.9</v>
      </c>
      <c r="J414">
        <v>5</v>
      </c>
      <c r="K414">
        <v>5.5</v>
      </c>
      <c r="L414">
        <v>0.005</v>
      </c>
      <c r="N414">
        <v>8.5</v>
      </c>
      <c r="P414" t="s">
        <v>22</v>
      </c>
    </row>
    <row r="415" spans="1:16">
      <c r="A415" t="s">
        <v>629</v>
      </c>
      <c r="B415" s="2" t="str">
        <f>Hyperlink("https://www.diodes.com/datasheet/download/DESD5V0U1BLQ.pdf")</f>
        <v>https://www.diodes.com/datasheet/download/DESD5V0U1BLQ.pdf</v>
      </c>
      <c r="C415" t="str">
        <f>Hyperlink("https://www.diodes.com/part/view/DESD5V0U1BLQ","DESD5V0U1BLQ")</f>
        <v>DESD5V0U1BLQ</v>
      </c>
      <c r="D415" t="s">
        <v>116</v>
      </c>
      <c r="E415" t="s">
        <v>18</v>
      </c>
      <c r="F415" t="s">
        <v>19</v>
      </c>
      <c r="G415">
        <v>1</v>
      </c>
      <c r="H415" t="s">
        <v>28</v>
      </c>
      <c r="I415">
        <v>2.9</v>
      </c>
      <c r="J415">
        <v>5</v>
      </c>
      <c r="K415">
        <v>5.5</v>
      </c>
      <c r="L415">
        <v>0.1</v>
      </c>
      <c r="N415">
        <v>7.2</v>
      </c>
      <c r="O415" t="s">
        <v>199</v>
      </c>
      <c r="P415" t="s">
        <v>22</v>
      </c>
    </row>
    <row r="416" spans="1:16">
      <c r="A416" t="s">
        <v>630</v>
      </c>
      <c r="B416" s="2" t="str">
        <f>Hyperlink("https://www.diodes.com/datasheet/download/DESD5V0X1BCSF.pdf")</f>
        <v>https://www.diodes.com/datasheet/download/DESD5V0X1BCSF.pdf</v>
      </c>
      <c r="C416" t="str">
        <f>Hyperlink("https://www.diodes.com/part/view/DESD5V0X1BCSF","DESD5V0X1BCSF")</f>
        <v>DESD5V0X1BCSF</v>
      </c>
      <c r="D416" t="s">
        <v>362</v>
      </c>
      <c r="E416" t="s">
        <v>18</v>
      </c>
      <c r="F416" t="s">
        <v>19</v>
      </c>
      <c r="G416">
        <v>1</v>
      </c>
      <c r="H416" t="s">
        <v>28</v>
      </c>
      <c r="I416">
        <v>0.21</v>
      </c>
      <c r="J416">
        <v>5</v>
      </c>
      <c r="K416">
        <v>6</v>
      </c>
      <c r="O416">
        <v>10</v>
      </c>
      <c r="P416" t="s">
        <v>118</v>
      </c>
    </row>
    <row r="417" spans="1:16">
      <c r="A417" t="s">
        <v>631</v>
      </c>
      <c r="B417" s="2" t="str">
        <f>Hyperlink("https://www.diodes.com/datasheet/download/DESD5V0XA1BCSF.pdf")</f>
        <v>https://www.diodes.com/datasheet/download/DESD5V0XA1BCSF.pdf</v>
      </c>
      <c r="C417" t="str">
        <f>Hyperlink("https://www.diodes.com/part/view/DESD5V0XA1BCSF","DESD5V0XA1BCSF")</f>
        <v>DESD5V0XA1BCSF</v>
      </c>
      <c r="D417" t="s">
        <v>362</v>
      </c>
      <c r="E417" t="s">
        <v>18</v>
      </c>
      <c r="F417" t="s">
        <v>19</v>
      </c>
      <c r="G417">
        <v>1</v>
      </c>
      <c r="H417" t="s">
        <v>28</v>
      </c>
      <c r="I417">
        <v>0.3</v>
      </c>
      <c r="J417">
        <v>5</v>
      </c>
      <c r="K417">
        <v>6</v>
      </c>
      <c r="O417">
        <v>16</v>
      </c>
      <c r="P417" t="s">
        <v>118</v>
      </c>
    </row>
    <row r="418" spans="1:16">
      <c r="A418" t="s">
        <v>632</v>
      </c>
      <c r="B418" s="2" t="str">
        <f>Hyperlink("https://www.diodes.com/datasheet/download/DESD5V2S2UT.pdf")</f>
        <v>https://www.diodes.com/datasheet/download/DESD5V2S2UT.pdf</v>
      </c>
      <c r="C418" t="str">
        <f>Hyperlink("https://www.diodes.com/part/view/DESD5V2S2UT","DESD5V2S2UT")</f>
        <v>DESD5V2S2UT</v>
      </c>
      <c r="D418" t="s">
        <v>633</v>
      </c>
      <c r="E418" t="s">
        <v>18</v>
      </c>
      <c r="F418" t="s">
        <v>33</v>
      </c>
      <c r="G418">
        <v>2</v>
      </c>
      <c r="H418" t="s">
        <v>56</v>
      </c>
      <c r="I418">
        <v>165</v>
      </c>
      <c r="J418">
        <v>5.2</v>
      </c>
      <c r="K418">
        <v>6.4</v>
      </c>
      <c r="M418">
        <v>15</v>
      </c>
      <c r="N418">
        <v>20</v>
      </c>
      <c r="O418" t="s">
        <v>21</v>
      </c>
      <c r="P418" t="s">
        <v>43</v>
      </c>
    </row>
    <row r="419" spans="1:16">
      <c r="A419" t="s">
        <v>634</v>
      </c>
      <c r="B419" s="2" t="str">
        <f>Hyperlink("https://www.diodes.com/datasheet/download/DESDxxVxS2UTQ+SERIES.pdf")</f>
        <v>https://www.diodes.com/datasheet/download/DESDxxVxS2UTQ+SERIES.pdf</v>
      </c>
      <c r="C419" t="str">
        <f>Hyperlink("https://www.diodes.com/part/view/DESD5V2S2UTQ","DESD5V2S2UTQ")</f>
        <v>DESD5V2S2UTQ</v>
      </c>
      <c r="D419" t="s">
        <v>536</v>
      </c>
      <c r="E419" t="s">
        <v>32</v>
      </c>
      <c r="F419" t="s">
        <v>33</v>
      </c>
      <c r="G419">
        <v>2</v>
      </c>
      <c r="H419" t="s">
        <v>56</v>
      </c>
      <c r="I419">
        <v>130</v>
      </c>
      <c r="J419">
        <v>5</v>
      </c>
      <c r="K419">
        <v>6.4</v>
      </c>
      <c r="L419">
        <v>1</v>
      </c>
      <c r="N419">
        <v>14</v>
      </c>
      <c r="O419" t="s">
        <v>21</v>
      </c>
      <c r="P419" t="s">
        <v>43</v>
      </c>
    </row>
    <row r="420" spans="1:16">
      <c r="A420" t="s">
        <v>635</v>
      </c>
      <c r="B420" s="2" t="str">
        <f>Hyperlink("https://www.diodes.com/datasheet/download/DESD6V8DLPA.pdf")</f>
        <v>https://www.diodes.com/datasheet/download/DESD6V8DLPA.pdf</v>
      </c>
      <c r="C420" t="str">
        <f>Hyperlink("https://www.diodes.com/part/view/DESD6V8DLPA","DESD6V8DLPA")</f>
        <v>DESD6V8DLPA</v>
      </c>
      <c r="D420" t="s">
        <v>636</v>
      </c>
      <c r="E420" t="s">
        <v>18</v>
      </c>
      <c r="F420" t="s">
        <v>19</v>
      </c>
      <c r="G420">
        <v>2</v>
      </c>
      <c r="H420" t="s">
        <v>56</v>
      </c>
      <c r="I420">
        <v>40</v>
      </c>
      <c r="J420">
        <v>5.25</v>
      </c>
      <c r="K420">
        <v>6.4</v>
      </c>
      <c r="O420" t="s">
        <v>37</v>
      </c>
      <c r="P420" t="s">
        <v>267</v>
      </c>
    </row>
    <row r="421" spans="1:16">
      <c r="A421" t="s">
        <v>637</v>
      </c>
      <c r="B421" s="2" t="str">
        <f>Hyperlink("https://www.diodes.com/datasheet/download/DESDA5V3L.pdf")</f>
        <v>https://www.diodes.com/datasheet/download/DESDA5V3L.pdf</v>
      </c>
      <c r="C421" t="str">
        <f>Hyperlink("https://www.diodes.com/part/view/DESDA5V3L","DESDA5V3L")</f>
        <v>DESDA5V3L</v>
      </c>
      <c r="D421" t="s">
        <v>638</v>
      </c>
      <c r="E421" t="s">
        <v>18</v>
      </c>
      <c r="F421" t="s">
        <v>33</v>
      </c>
      <c r="G421">
        <v>2</v>
      </c>
      <c r="H421" t="s">
        <v>56</v>
      </c>
      <c r="J421">
        <v>3</v>
      </c>
      <c r="K421">
        <v>5.3</v>
      </c>
      <c r="M421">
        <v>20</v>
      </c>
      <c r="O421" t="s">
        <v>639</v>
      </c>
      <c r="P421" t="s">
        <v>43</v>
      </c>
    </row>
    <row r="422" spans="1:16">
      <c r="A422" t="s">
        <v>640</v>
      </c>
      <c r="B422" s="2" t="str">
        <f>Hyperlink("https://www.diodes.com/datasheet/download/DESDA5V3LQ.pdf")</f>
        <v>https://www.diodes.com/datasheet/download/DESDA5V3LQ.pdf</v>
      </c>
      <c r="C422" t="str">
        <f>Hyperlink("https://www.diodes.com/part/view/DESDA5V3LQ","DESDA5V3LQ")</f>
        <v>DESDA5V3LQ</v>
      </c>
      <c r="D422" t="s">
        <v>641</v>
      </c>
      <c r="E422" t="s">
        <v>32</v>
      </c>
      <c r="F422" t="s">
        <v>33</v>
      </c>
      <c r="G422">
        <v>2</v>
      </c>
      <c r="H422" t="s">
        <v>56</v>
      </c>
      <c r="J422">
        <v>3</v>
      </c>
      <c r="K422">
        <v>5.3</v>
      </c>
      <c r="O422" t="s">
        <v>639</v>
      </c>
      <c r="P422" t="s">
        <v>43</v>
      </c>
    </row>
    <row r="423" spans="1:16">
      <c r="A423" t="s">
        <v>642</v>
      </c>
      <c r="B423" s="2" t="str">
        <f>Hyperlink("https://www.diodes.com/datasheet/download/DESDALC5ALP.pdf")</f>
        <v>https://www.diodes.com/datasheet/download/DESDALC5ALP.pdf</v>
      </c>
      <c r="C423" t="str">
        <f>Hyperlink("https://www.diodes.com/part/view/DESDALC5ALP","DESDALC5ALP")</f>
        <v>DESDALC5ALP</v>
      </c>
      <c r="D423" t="s">
        <v>643</v>
      </c>
      <c r="E423" t="s">
        <v>18</v>
      </c>
      <c r="F423" t="s">
        <v>19</v>
      </c>
      <c r="G423">
        <v>1</v>
      </c>
      <c r="H423" t="s">
        <v>28</v>
      </c>
      <c r="I423">
        <v>26</v>
      </c>
      <c r="J423">
        <v>5</v>
      </c>
      <c r="K423">
        <v>5.8</v>
      </c>
      <c r="N423">
        <v>16.7</v>
      </c>
      <c r="O423" t="s">
        <v>21</v>
      </c>
      <c r="P423" t="s">
        <v>22</v>
      </c>
    </row>
    <row r="424" spans="1:16">
      <c r="A424" t="s">
        <v>644</v>
      </c>
      <c r="B424" s="2" t="str">
        <f>Hyperlink("https://www.diodes.com/datasheet/download/DESDALC5LP.pdf")</f>
        <v>https://www.diodes.com/datasheet/download/DESDALC5LP.pdf</v>
      </c>
      <c r="C424" t="str">
        <f>Hyperlink("https://www.diodes.com/part/view/DESDALC5LP","DESDALC5LP")</f>
        <v>DESDALC5LP</v>
      </c>
      <c r="D424" t="s">
        <v>643</v>
      </c>
      <c r="E424" t="s">
        <v>18</v>
      </c>
      <c r="F424" t="s">
        <v>19</v>
      </c>
      <c r="G424">
        <v>1</v>
      </c>
      <c r="H424" t="s">
        <v>28</v>
      </c>
      <c r="I424">
        <v>26</v>
      </c>
      <c r="J424">
        <v>5</v>
      </c>
      <c r="K424">
        <v>5</v>
      </c>
      <c r="L424">
        <v>0.001</v>
      </c>
      <c r="M424">
        <v>9</v>
      </c>
      <c r="N424">
        <v>16.7</v>
      </c>
      <c r="O424">
        <v>30</v>
      </c>
      <c r="P424" t="s">
        <v>22</v>
      </c>
    </row>
    <row r="425" spans="1:16">
      <c r="A425" t="s">
        <v>645</v>
      </c>
      <c r="B425" s="2" t="str">
        <f>Hyperlink("https://www.diodes.com/datasheet/download/DLP05LC.pdf")</f>
        <v>https://www.diodes.com/datasheet/download/DLP05LC.pdf</v>
      </c>
      <c r="C425" t="str">
        <f>Hyperlink("https://www.diodes.com/part/view/DLP05LC","DLP05LC")</f>
        <v>DLP05LC</v>
      </c>
      <c r="D425" t="s">
        <v>638</v>
      </c>
      <c r="E425" t="s">
        <v>18</v>
      </c>
      <c r="F425" t="s">
        <v>19</v>
      </c>
      <c r="G425">
        <v>1</v>
      </c>
      <c r="H425" t="s">
        <v>20</v>
      </c>
      <c r="I425">
        <v>1.6</v>
      </c>
      <c r="J425">
        <v>5</v>
      </c>
      <c r="K425">
        <v>6</v>
      </c>
      <c r="N425">
        <v>11</v>
      </c>
      <c r="P425" t="s">
        <v>43</v>
      </c>
    </row>
    <row r="426" spans="1:16">
      <c r="A426" t="s">
        <v>646</v>
      </c>
      <c r="B426" s="2" t="str">
        <f>Hyperlink("https://www.diodes.com/datasheet/download/DLP05LCA.pdf")</f>
        <v>https://www.diodes.com/datasheet/download/DLP05LCA.pdf</v>
      </c>
      <c r="C426" t="str">
        <f>Hyperlink("https://www.diodes.com/part/view/DLP05LCA","DLP05LCA")</f>
        <v>DLP05LCA</v>
      </c>
      <c r="D426" t="s">
        <v>647</v>
      </c>
      <c r="E426" t="s">
        <v>18</v>
      </c>
      <c r="F426" t="s">
        <v>19</v>
      </c>
      <c r="G426">
        <v>1</v>
      </c>
      <c r="H426" t="s">
        <v>20</v>
      </c>
      <c r="I426">
        <v>1.9</v>
      </c>
      <c r="J426">
        <v>5</v>
      </c>
      <c r="K426">
        <v>6</v>
      </c>
      <c r="L426">
        <v>20</v>
      </c>
      <c r="N426">
        <v>11</v>
      </c>
      <c r="O426">
        <v>30</v>
      </c>
      <c r="P426" t="s">
        <v>43</v>
      </c>
    </row>
    <row r="427" spans="1:16">
      <c r="A427" t="s">
        <v>648</v>
      </c>
      <c r="B427" s="2" t="str">
        <f>Hyperlink("https://www.diodes.com/datasheet/download/DLPA006.pdf")</f>
        <v>https://www.diodes.com/datasheet/download/DLPA006.pdf</v>
      </c>
      <c r="C427" t="str">
        <f>Hyperlink("https://www.diodes.com/part/view/DLPA006","DLPA006")</f>
        <v>DLPA006</v>
      </c>
      <c r="D427" t="s">
        <v>649</v>
      </c>
      <c r="E427" t="s">
        <v>18</v>
      </c>
      <c r="F427" t="s">
        <v>19</v>
      </c>
      <c r="G427">
        <v>3</v>
      </c>
      <c r="H427" t="s">
        <v>650</v>
      </c>
      <c r="I427">
        <v>2</v>
      </c>
      <c r="J427">
        <v>85</v>
      </c>
      <c r="K427">
        <v>85</v>
      </c>
      <c r="L427">
        <v>0.005</v>
      </c>
      <c r="O427">
        <v>15</v>
      </c>
      <c r="P427" t="s">
        <v>74</v>
      </c>
    </row>
    <row r="428" spans="1:16">
      <c r="A428" t="s">
        <v>651</v>
      </c>
      <c r="B428" s="2" t="str">
        <f>Hyperlink("https://www.diodes.com/datasheet/download/DLPT05.pdf")</f>
        <v>https://www.diodes.com/datasheet/download/DLPT05.pdf</v>
      </c>
      <c r="C428" t="str">
        <f>Hyperlink("https://www.diodes.com/part/view/DLPT05","DLPT05")</f>
        <v>DLPT05</v>
      </c>
      <c r="D428" t="s">
        <v>638</v>
      </c>
      <c r="E428" t="s">
        <v>18</v>
      </c>
      <c r="F428" t="s">
        <v>19</v>
      </c>
      <c r="G428">
        <v>1</v>
      </c>
      <c r="H428" t="s">
        <v>20</v>
      </c>
      <c r="I428">
        <v>1.9</v>
      </c>
      <c r="J428">
        <v>5</v>
      </c>
      <c r="K428">
        <v>6</v>
      </c>
      <c r="N428">
        <v>9.8</v>
      </c>
      <c r="O428" t="s">
        <v>21</v>
      </c>
      <c r="P428" t="s">
        <v>652</v>
      </c>
    </row>
    <row r="429" spans="1:16">
      <c r="A429" t="s">
        <v>653</v>
      </c>
      <c r="B429" s="2" t="str">
        <f>Hyperlink("https://www.diodes.com/datasheet/download/DLPT05A.pdf")</f>
        <v>https://www.diodes.com/datasheet/download/DLPT05A.pdf</v>
      </c>
      <c r="C429" t="str">
        <f>Hyperlink("https://www.diodes.com/part/view/DLPT05A","DLPT05A")</f>
        <v>DLPT05A</v>
      </c>
      <c r="D429" t="s">
        <v>654</v>
      </c>
      <c r="E429" t="s">
        <v>18</v>
      </c>
      <c r="F429" t="s">
        <v>19</v>
      </c>
      <c r="G429">
        <v>1</v>
      </c>
      <c r="H429" t="s">
        <v>20</v>
      </c>
      <c r="I429">
        <v>1.9</v>
      </c>
      <c r="J429">
        <v>5</v>
      </c>
      <c r="K429">
        <v>6</v>
      </c>
      <c r="L429">
        <v>20</v>
      </c>
      <c r="N429">
        <v>9.8</v>
      </c>
      <c r="O429">
        <v>30</v>
      </c>
      <c r="P429" t="s">
        <v>43</v>
      </c>
    </row>
    <row r="430" spans="1:16">
      <c r="A430" t="s">
        <v>655</v>
      </c>
      <c r="B430" s="2" t="str">
        <f>Hyperlink("https://www.diodes.com/datasheet/download/DLPT05WA.pdf")</f>
        <v>https://www.diodes.com/datasheet/download/DLPT05WA.pdf</v>
      </c>
      <c r="C430" t="str">
        <f>Hyperlink("https://www.diodes.com/part/view/DLPT05WA","DLPT05WA")</f>
        <v>DLPT05WA</v>
      </c>
      <c r="D430" t="s">
        <v>656</v>
      </c>
      <c r="E430" t="s">
        <v>18</v>
      </c>
      <c r="F430" t="s">
        <v>19</v>
      </c>
      <c r="G430">
        <v>1</v>
      </c>
      <c r="H430" t="s">
        <v>20</v>
      </c>
      <c r="I430">
        <v>1.9</v>
      </c>
      <c r="J430">
        <v>5</v>
      </c>
      <c r="K430">
        <v>6</v>
      </c>
      <c r="L430">
        <v>20</v>
      </c>
      <c r="N430">
        <v>9.8</v>
      </c>
      <c r="O430">
        <v>30</v>
      </c>
      <c r="P430" t="s">
        <v>48</v>
      </c>
    </row>
    <row r="431" spans="1:16">
      <c r="A431" t="s">
        <v>657</v>
      </c>
      <c r="B431" s="2" t="str">
        <f>Hyperlink("https://www.diodes.com/datasheet/download/DM1231-02SO.pdf")</f>
        <v>https://www.diodes.com/datasheet/download/DM1231-02SO.pdf</v>
      </c>
      <c r="C431" t="str">
        <f>Hyperlink("https://www.diodes.com/part/view/DM1231-02SO","DM1231-02SO")</f>
        <v>DM1231-02SO</v>
      </c>
      <c r="D431" t="s">
        <v>658</v>
      </c>
      <c r="E431" t="s">
        <v>18</v>
      </c>
      <c r="F431" t="s">
        <v>19</v>
      </c>
      <c r="G431">
        <v>2</v>
      </c>
      <c r="H431" t="s">
        <v>56</v>
      </c>
      <c r="I431">
        <v>1.5</v>
      </c>
      <c r="J431">
        <v>5.5</v>
      </c>
      <c r="K431">
        <v>6</v>
      </c>
      <c r="L431">
        <v>1</v>
      </c>
      <c r="N431">
        <v>14</v>
      </c>
      <c r="O431">
        <v>12</v>
      </c>
      <c r="P431" t="s">
        <v>61</v>
      </c>
    </row>
    <row r="432" spans="1:16">
      <c r="A432" t="s">
        <v>659</v>
      </c>
      <c r="B432" s="2" t="str">
        <f>Hyperlink("https://www.diodes.com/datasheet/download/DMF05LCFLPA.pdf")</f>
        <v>https://www.diodes.com/datasheet/download/DMF05LCFLPA.pdf</v>
      </c>
      <c r="C432" t="str">
        <f>Hyperlink("https://www.diodes.com/part/view/DMF05LCFLPA","DMF05LCFLPA")</f>
        <v>DMF05LCFLPA</v>
      </c>
      <c r="D432" t="s">
        <v>660</v>
      </c>
      <c r="E432" t="s">
        <v>18</v>
      </c>
      <c r="F432" t="s">
        <v>33</v>
      </c>
      <c r="G432">
        <v>5</v>
      </c>
      <c r="H432" t="s">
        <v>576</v>
      </c>
      <c r="I432">
        <v>25</v>
      </c>
      <c r="J432">
        <v>5</v>
      </c>
      <c r="K432">
        <v>6</v>
      </c>
      <c r="L432">
        <v>0.1</v>
      </c>
      <c r="N432">
        <v>12.5</v>
      </c>
      <c r="O432">
        <v>25</v>
      </c>
      <c r="P432" t="s">
        <v>425</v>
      </c>
    </row>
    <row r="433" spans="1:16">
      <c r="A433" t="s">
        <v>661</v>
      </c>
      <c r="B433" s="2" t="str">
        <f>Hyperlink("https://www.diodes.com/datasheet/download/DMF05LCFLPAQ.pdf")</f>
        <v>https://www.diodes.com/datasheet/download/DMF05LCFLPAQ.pdf</v>
      </c>
      <c r="C433" t="str">
        <f>Hyperlink("https://www.diodes.com/part/view/DMF05LCFLPAQ","DMF05LCFLPAQ")</f>
        <v>DMF05LCFLPAQ</v>
      </c>
      <c r="D433" t="s">
        <v>660</v>
      </c>
      <c r="E433" t="s">
        <v>32</v>
      </c>
      <c r="F433" t="s">
        <v>33</v>
      </c>
      <c r="G433">
        <v>5</v>
      </c>
      <c r="H433" t="s">
        <v>576</v>
      </c>
      <c r="I433">
        <v>25</v>
      </c>
      <c r="J433">
        <v>5</v>
      </c>
      <c r="K433">
        <v>6</v>
      </c>
      <c r="L433">
        <v>0.1</v>
      </c>
      <c r="N433">
        <v>12.5</v>
      </c>
      <c r="O433">
        <v>25</v>
      </c>
      <c r="P433" t="s">
        <v>425</v>
      </c>
    </row>
    <row r="434" spans="1:16">
      <c r="A434" t="s">
        <v>662</v>
      </c>
      <c r="B434" s="2" t="str">
        <f>Hyperlink("https://www.diodes.com/datasheet/download/DRTR5V0U1LP.pdf")</f>
        <v>https://www.diodes.com/datasheet/download/DRTR5V0U1LP.pdf</v>
      </c>
      <c r="C434" t="str">
        <f>Hyperlink("https://www.diodes.com/part/view/DRTR5V0U1LP","DRTR5V0U1LP")</f>
        <v>DRTR5V0U1LP</v>
      </c>
      <c r="D434" t="s">
        <v>663</v>
      </c>
      <c r="E434" t="s">
        <v>18</v>
      </c>
      <c r="F434" t="s">
        <v>33</v>
      </c>
      <c r="G434">
        <v>1</v>
      </c>
      <c r="H434" t="s">
        <v>20</v>
      </c>
      <c r="I434">
        <v>1</v>
      </c>
      <c r="J434">
        <v>5.5</v>
      </c>
      <c r="K434">
        <v>6</v>
      </c>
      <c r="L434">
        <v>0.01</v>
      </c>
      <c r="N434">
        <v>17</v>
      </c>
      <c r="O434">
        <v>8</v>
      </c>
      <c r="P434" t="s">
        <v>22</v>
      </c>
    </row>
    <row r="435" spans="1:16">
      <c r="A435" t="s">
        <v>664</v>
      </c>
      <c r="B435" s="2" t="str">
        <f>Hyperlink("https://www.diodes.com/datasheet/download/DRTR5V0U1LPQ.pdf")</f>
        <v>https://www.diodes.com/datasheet/download/DRTR5V0U1LPQ.pdf</v>
      </c>
      <c r="C435" t="str">
        <f>Hyperlink("https://www.diodes.com/part/view/DRTR5V0U1LPQ","DRTR5V0U1LPQ")</f>
        <v>DRTR5V0U1LPQ</v>
      </c>
      <c r="D435" t="s">
        <v>663</v>
      </c>
      <c r="E435" t="s">
        <v>32</v>
      </c>
      <c r="F435" t="s">
        <v>33</v>
      </c>
      <c r="G435">
        <v>1</v>
      </c>
      <c r="H435" t="s">
        <v>20</v>
      </c>
      <c r="I435">
        <v>1</v>
      </c>
      <c r="J435">
        <v>5.5</v>
      </c>
      <c r="K435">
        <v>6</v>
      </c>
      <c r="L435">
        <v>0.1</v>
      </c>
      <c r="O435" t="s">
        <v>37</v>
      </c>
      <c r="P435" t="s">
        <v>22</v>
      </c>
    </row>
    <row r="436" spans="1:16">
      <c r="A436" t="s">
        <v>665</v>
      </c>
      <c r="B436" s="2" t="str">
        <f>Hyperlink("https://www.diodes.com/datasheet/download/DRTR5V0U1SO.pdf")</f>
        <v>https://www.diodes.com/datasheet/download/DRTR5V0U1SO.pdf</v>
      </c>
      <c r="C436" t="str">
        <f>Hyperlink("https://www.diodes.com/part/view/DRTR5V0U1SO","DRTR5V0U1SO")</f>
        <v>DRTR5V0U1SO</v>
      </c>
      <c r="E436" t="s">
        <v>18</v>
      </c>
      <c r="F436" t="s">
        <v>19</v>
      </c>
      <c r="G436">
        <v>1</v>
      </c>
      <c r="H436" t="s">
        <v>20</v>
      </c>
      <c r="I436">
        <v>1</v>
      </c>
      <c r="J436">
        <v>5.5</v>
      </c>
      <c r="K436">
        <v>6</v>
      </c>
      <c r="L436">
        <v>0.01</v>
      </c>
      <c r="M436">
        <v>5</v>
      </c>
      <c r="N436">
        <v>17</v>
      </c>
      <c r="O436">
        <v>8</v>
      </c>
      <c r="P436" t="s">
        <v>43</v>
      </c>
    </row>
    <row r="437" spans="1:16">
      <c r="A437" t="s">
        <v>666</v>
      </c>
      <c r="B437" s="2" t="str">
        <f>Hyperlink("https://www.diodes.com/datasheet/download/DRTR5V0U2SO.pdf")</f>
        <v>https://www.diodes.com/datasheet/download/DRTR5V0U2SO.pdf</v>
      </c>
      <c r="C437" t="str">
        <f>Hyperlink("https://www.diodes.com/part/view/DRTR5V0U2SO","DRTR5V0U2SO")</f>
        <v>DRTR5V0U2SO</v>
      </c>
      <c r="D437" t="s">
        <v>64</v>
      </c>
      <c r="E437" t="s">
        <v>18</v>
      </c>
      <c r="F437" t="s">
        <v>19</v>
      </c>
      <c r="G437">
        <v>2</v>
      </c>
      <c r="H437" t="s">
        <v>56</v>
      </c>
      <c r="I437">
        <v>1</v>
      </c>
      <c r="J437">
        <v>5.5</v>
      </c>
      <c r="K437">
        <v>6</v>
      </c>
      <c r="L437">
        <v>0.001</v>
      </c>
      <c r="N437">
        <v>19</v>
      </c>
      <c r="O437" t="s">
        <v>54</v>
      </c>
      <c r="P437" t="s">
        <v>61</v>
      </c>
    </row>
    <row r="438" spans="1:16">
      <c r="A438" t="s">
        <v>667</v>
      </c>
      <c r="B438" s="2" t="str">
        <f>Hyperlink("https://www.diodes.com/datasheet/download/DRTR5V0U2SOQ.pdf")</f>
        <v>https://www.diodes.com/datasheet/download/DRTR5V0U2SOQ.pdf</v>
      </c>
      <c r="C438" t="str">
        <f>Hyperlink("https://www.diodes.com/part/view/DRTR5V0U2SOQ","DRTR5V0U2SOQ")</f>
        <v>DRTR5V0U2SOQ</v>
      </c>
      <c r="D438" t="s">
        <v>668</v>
      </c>
      <c r="E438" t="s">
        <v>32</v>
      </c>
      <c r="F438" t="s">
        <v>33</v>
      </c>
      <c r="G438">
        <v>2</v>
      </c>
      <c r="H438" t="s">
        <v>56</v>
      </c>
      <c r="I438">
        <v>1</v>
      </c>
      <c r="J438">
        <v>5.5</v>
      </c>
      <c r="K438">
        <v>6</v>
      </c>
      <c r="L438">
        <v>0.001</v>
      </c>
      <c r="M438">
        <v>6</v>
      </c>
      <c r="N438">
        <v>19</v>
      </c>
      <c r="O438" t="s">
        <v>54</v>
      </c>
      <c r="P438" t="s">
        <v>61</v>
      </c>
    </row>
    <row r="439" spans="1:16">
      <c r="A439" t="s">
        <v>669</v>
      </c>
      <c r="B439" s="2" t="str">
        <f>Hyperlink("https://www.diodes.com/datasheet/download/DRTR5V0U2SR.pdf")</f>
        <v>https://www.diodes.com/datasheet/download/DRTR5V0U2SR.pdf</v>
      </c>
      <c r="C439" t="str">
        <f>Hyperlink("https://www.diodes.com/part/view/DRTR5V0U2SR","DRTR5V0U2SR")</f>
        <v>DRTR5V0U2SR</v>
      </c>
      <c r="E439" t="s">
        <v>18</v>
      </c>
      <c r="F439" t="s">
        <v>33</v>
      </c>
      <c r="G439">
        <v>2</v>
      </c>
      <c r="H439" t="s">
        <v>56</v>
      </c>
      <c r="I439">
        <v>1</v>
      </c>
      <c r="J439">
        <v>5.5</v>
      </c>
      <c r="K439">
        <v>6</v>
      </c>
      <c r="L439">
        <v>0.01</v>
      </c>
      <c r="M439">
        <v>5</v>
      </c>
      <c r="N439">
        <v>17</v>
      </c>
      <c r="O439">
        <v>8</v>
      </c>
      <c r="P439" t="s">
        <v>66</v>
      </c>
    </row>
    <row r="440" spans="1:16">
      <c r="A440" t="s">
        <v>670</v>
      </c>
      <c r="B440" s="2" t="str">
        <f>Hyperlink("https://www.diodes.com/datasheet/download/DRTR5V0U2SRQ.pdf")</f>
        <v>https://www.diodes.com/datasheet/download/DRTR5V0U2SRQ.pdf</v>
      </c>
      <c r="C440" t="str">
        <f>Hyperlink("https://www.diodes.com/part/view/DRTR5V0U2SRQ","DRTR5V0U2SRQ")</f>
        <v>DRTR5V0U2SRQ</v>
      </c>
      <c r="E440" t="s">
        <v>32</v>
      </c>
      <c r="F440" t="s">
        <v>33</v>
      </c>
      <c r="G440">
        <v>2</v>
      </c>
      <c r="H440" t="s">
        <v>56</v>
      </c>
      <c r="I440">
        <v>1.5</v>
      </c>
      <c r="J440">
        <v>5.5</v>
      </c>
      <c r="K440">
        <v>6</v>
      </c>
      <c r="L440">
        <v>0.01</v>
      </c>
      <c r="N440">
        <v>7</v>
      </c>
      <c r="O440">
        <v>24</v>
      </c>
      <c r="P440" t="s">
        <v>66</v>
      </c>
    </row>
    <row r="441" spans="1:16">
      <c r="A441" t="s">
        <v>671</v>
      </c>
      <c r="B441" s="2" t="str">
        <f>Hyperlink("https://www.diodes.com/datasheet/download/DRTR5V0U4LP16.pdf")</f>
        <v>https://www.diodes.com/datasheet/download/DRTR5V0U4LP16.pdf</v>
      </c>
      <c r="C441" t="str">
        <f>Hyperlink("https://www.diodes.com/part/view/DRTR5V0U4LP16","DRTR5V0U4LP16")</f>
        <v>DRTR5V0U4LP16</v>
      </c>
      <c r="D441" t="s">
        <v>73</v>
      </c>
      <c r="E441" t="s">
        <v>18</v>
      </c>
      <c r="F441" t="s">
        <v>19</v>
      </c>
      <c r="G441">
        <v>4</v>
      </c>
      <c r="H441" t="s">
        <v>70</v>
      </c>
      <c r="I441">
        <v>1</v>
      </c>
      <c r="J441">
        <v>5.5</v>
      </c>
      <c r="K441">
        <v>6</v>
      </c>
      <c r="L441">
        <v>0.1</v>
      </c>
      <c r="M441">
        <v>6</v>
      </c>
      <c r="N441">
        <v>16</v>
      </c>
      <c r="O441">
        <v>30</v>
      </c>
      <c r="P441" t="s">
        <v>425</v>
      </c>
    </row>
    <row r="442" spans="1:16">
      <c r="A442" t="s">
        <v>672</v>
      </c>
      <c r="B442" s="2" t="str">
        <f>Hyperlink("https://www.diodes.com/datasheet/download/DRTR5V0U4S.pdf")</f>
        <v>https://www.diodes.com/datasheet/download/DRTR5V0U4S.pdf</v>
      </c>
      <c r="C442" t="str">
        <f>Hyperlink("https://www.diodes.com/part/view/DRTR5V0U4S","DRTR5V0U4S")</f>
        <v>DRTR5V0U4S</v>
      </c>
      <c r="E442" t="s">
        <v>18</v>
      </c>
      <c r="F442" t="s">
        <v>19</v>
      </c>
      <c r="G442">
        <v>4</v>
      </c>
      <c r="H442" t="s">
        <v>70</v>
      </c>
      <c r="I442">
        <v>1</v>
      </c>
      <c r="J442">
        <v>5.5</v>
      </c>
      <c r="K442">
        <v>6</v>
      </c>
      <c r="L442">
        <v>0.01</v>
      </c>
      <c r="M442">
        <v>5</v>
      </c>
      <c r="N442">
        <v>17</v>
      </c>
      <c r="O442">
        <v>8</v>
      </c>
      <c r="P442" t="s">
        <v>74</v>
      </c>
    </row>
    <row r="443" spans="1:16">
      <c r="A443" t="s">
        <v>673</v>
      </c>
      <c r="B443" s="2" t="str">
        <f>Hyperlink("https://www.diodes.com/datasheet/download/DRTR5V0U4SL.pdf")</f>
        <v>https://www.diodes.com/datasheet/download/DRTR5V0U4SL.pdf</v>
      </c>
      <c r="C443" t="str">
        <f>Hyperlink("https://www.diodes.com/part/view/DRTR5V0U4SL","DRTR5V0U4SL")</f>
        <v>DRTR5V0U4SL</v>
      </c>
      <c r="E443" t="s">
        <v>18</v>
      </c>
      <c r="F443" t="s">
        <v>19</v>
      </c>
      <c r="G443">
        <v>4</v>
      </c>
      <c r="H443" t="s">
        <v>70</v>
      </c>
      <c r="I443">
        <v>0.8</v>
      </c>
      <c r="J443">
        <v>5.5</v>
      </c>
      <c r="K443">
        <v>6</v>
      </c>
      <c r="L443">
        <v>0.01</v>
      </c>
      <c r="M443">
        <v>5</v>
      </c>
      <c r="N443">
        <v>17</v>
      </c>
      <c r="O443">
        <v>8</v>
      </c>
      <c r="P443" t="s">
        <v>74</v>
      </c>
    </row>
    <row r="444" spans="1:16">
      <c r="A444" t="s">
        <v>674</v>
      </c>
      <c r="B444" s="2" t="str">
        <f>Hyperlink("https://www.diodes.com/datasheet/download/DT1042-02SR.pdf")</f>
        <v>https://www.diodes.com/datasheet/download/DT1042-02SR.pdf</v>
      </c>
      <c r="C444" t="str">
        <f>Hyperlink("https://www.diodes.com/part/view/DT1042-02SR","DT1042-02SR")</f>
        <v>DT1042-02SR</v>
      </c>
      <c r="D444" t="s">
        <v>64</v>
      </c>
      <c r="E444" t="s">
        <v>18</v>
      </c>
      <c r="F444" t="s">
        <v>19</v>
      </c>
      <c r="G444">
        <v>2</v>
      </c>
      <c r="H444" t="s">
        <v>56</v>
      </c>
      <c r="I444">
        <v>0.65</v>
      </c>
      <c r="J444">
        <v>5</v>
      </c>
      <c r="K444">
        <v>6.2</v>
      </c>
      <c r="L444">
        <v>0.5</v>
      </c>
      <c r="N444">
        <v>9</v>
      </c>
      <c r="O444">
        <v>16</v>
      </c>
      <c r="P444" t="s">
        <v>66</v>
      </c>
    </row>
    <row r="445" spans="1:16">
      <c r="A445" t="s">
        <v>675</v>
      </c>
      <c r="B445" s="2" t="str">
        <f>Hyperlink("https://www.diodes.com/datasheet/download/DT1042-02SRQ.pdf")</f>
        <v>https://www.diodes.com/datasheet/download/DT1042-02SRQ.pdf</v>
      </c>
      <c r="C445" t="str">
        <f>Hyperlink("https://www.diodes.com/part/view/DT1042-02SRQ","DT1042-02SRQ")</f>
        <v>DT1042-02SRQ</v>
      </c>
      <c r="D445" t="s">
        <v>668</v>
      </c>
      <c r="E445" t="s">
        <v>32</v>
      </c>
      <c r="F445" t="s">
        <v>33</v>
      </c>
      <c r="G445">
        <v>2</v>
      </c>
      <c r="H445" t="s">
        <v>56</v>
      </c>
      <c r="I445">
        <v>0.65</v>
      </c>
      <c r="J445">
        <v>5</v>
      </c>
      <c r="K445">
        <v>6.2</v>
      </c>
      <c r="L445">
        <v>1</v>
      </c>
      <c r="M445">
        <v>6</v>
      </c>
      <c r="N445">
        <v>9</v>
      </c>
      <c r="O445" t="s">
        <v>676</v>
      </c>
      <c r="P445" t="s">
        <v>66</v>
      </c>
    </row>
    <row r="446" spans="1:16">
      <c r="A446" t="s">
        <v>677</v>
      </c>
      <c r="B446" s="2" t="str">
        <f>Hyperlink("https://www.diodes.com/datasheet/download/DT1042-04SO.pdf")</f>
        <v>https://www.diodes.com/datasheet/download/DT1042-04SO.pdf</v>
      </c>
      <c r="C446" t="str">
        <f>Hyperlink("https://www.diodes.com/part/view/DT1042-04SO","DT1042-04SO")</f>
        <v>DT1042-04SO</v>
      </c>
      <c r="E446" t="s">
        <v>18</v>
      </c>
      <c r="F446" t="s">
        <v>19</v>
      </c>
      <c r="G446">
        <v>4</v>
      </c>
      <c r="H446" t="s">
        <v>70</v>
      </c>
      <c r="I446">
        <v>0.65</v>
      </c>
      <c r="J446">
        <v>5</v>
      </c>
      <c r="K446">
        <v>6.2</v>
      </c>
      <c r="L446">
        <v>0.5</v>
      </c>
      <c r="N446">
        <v>9</v>
      </c>
      <c r="O446">
        <v>16</v>
      </c>
      <c r="P446" t="s">
        <v>61</v>
      </c>
    </row>
    <row r="447" spans="1:16">
      <c r="A447" t="s">
        <v>678</v>
      </c>
      <c r="B447" s="2" t="str">
        <f>Hyperlink("https://www.diodes.com/datasheet/download/DT1042-04SOQ.pdf")</f>
        <v>https://www.diodes.com/datasheet/download/DT1042-04SOQ.pdf</v>
      </c>
      <c r="C447" t="str">
        <f>Hyperlink("https://www.diodes.com/part/view/DT1042-04SOQ","DT1042-04SOQ")</f>
        <v>DT1042-04SOQ</v>
      </c>
      <c r="D447" t="s">
        <v>83</v>
      </c>
      <c r="E447" t="s">
        <v>32</v>
      </c>
      <c r="F447" t="s">
        <v>33</v>
      </c>
      <c r="G447">
        <v>4</v>
      </c>
      <c r="H447" t="s">
        <v>70</v>
      </c>
      <c r="I447">
        <v>0.65</v>
      </c>
      <c r="J447">
        <v>5</v>
      </c>
      <c r="K447">
        <v>6.2</v>
      </c>
      <c r="L447">
        <v>0.5</v>
      </c>
      <c r="N447">
        <v>9</v>
      </c>
      <c r="O447" t="s">
        <v>676</v>
      </c>
      <c r="P447" t="s">
        <v>61</v>
      </c>
    </row>
    <row r="448" spans="1:16">
      <c r="A448" t="s">
        <v>679</v>
      </c>
      <c r="B448" s="2" t="str">
        <f>Hyperlink("https://www.diodes.com/datasheet/download/DT1042-04TS.pdf")</f>
        <v>https://www.diodes.com/datasheet/download/DT1042-04TS.pdf</v>
      </c>
      <c r="C448" t="str">
        <f>Hyperlink("https://www.diodes.com/part/view/DT1042-04TS","DT1042-04TS")</f>
        <v>DT1042-04TS</v>
      </c>
      <c r="E448" t="s">
        <v>18</v>
      </c>
      <c r="F448" t="s">
        <v>19</v>
      </c>
      <c r="G448">
        <v>4</v>
      </c>
      <c r="H448" t="s">
        <v>70</v>
      </c>
      <c r="I448">
        <v>0.65</v>
      </c>
      <c r="J448">
        <v>5</v>
      </c>
      <c r="K448">
        <v>6.2</v>
      </c>
      <c r="L448">
        <v>0.5</v>
      </c>
      <c r="M448">
        <v>6</v>
      </c>
      <c r="N448">
        <v>9</v>
      </c>
      <c r="O448">
        <v>16</v>
      </c>
      <c r="P448" t="s">
        <v>77</v>
      </c>
    </row>
    <row r="449" spans="1:16">
      <c r="A449" t="s">
        <v>680</v>
      </c>
      <c r="B449" s="2" t="str">
        <f>Hyperlink("https://www.diodes.com/datasheet/download/DT1140-04LP.pdf")</f>
        <v>https://www.diodes.com/datasheet/download/DT1140-04LP.pdf</v>
      </c>
      <c r="C449" t="str">
        <f>Hyperlink("https://www.diodes.com/part/view/DT1140-04LP","DT1140-04LP")</f>
        <v>DT1140-04LP</v>
      </c>
      <c r="D449" t="s">
        <v>73</v>
      </c>
      <c r="E449" t="s">
        <v>18</v>
      </c>
      <c r="F449" t="s">
        <v>33</v>
      </c>
      <c r="G449">
        <v>4</v>
      </c>
      <c r="H449" t="s">
        <v>70</v>
      </c>
      <c r="I449">
        <v>0.5</v>
      </c>
      <c r="J449">
        <v>5.5</v>
      </c>
      <c r="K449">
        <v>6</v>
      </c>
      <c r="L449">
        <v>0.5</v>
      </c>
      <c r="N449">
        <v>10</v>
      </c>
      <c r="O449">
        <v>20</v>
      </c>
      <c r="P449" t="s">
        <v>271</v>
      </c>
    </row>
    <row r="450" spans="1:16">
      <c r="A450" t="s">
        <v>681</v>
      </c>
      <c r="B450" s="2" t="str">
        <f>Hyperlink("https://www.diodes.com/datasheet/download/DT1140-04LPQ.pdf")</f>
        <v>https://www.diodes.com/datasheet/download/DT1140-04LPQ.pdf</v>
      </c>
      <c r="C450" t="str">
        <f>Hyperlink("https://www.diodes.com/part/view/DT1140-04LPQ","DT1140-04LPQ")</f>
        <v>DT1140-04LPQ</v>
      </c>
      <c r="D450" t="s">
        <v>73</v>
      </c>
      <c r="E450" t="s">
        <v>32</v>
      </c>
      <c r="F450" t="s">
        <v>33</v>
      </c>
      <c r="G450">
        <v>4</v>
      </c>
      <c r="H450" t="s">
        <v>70</v>
      </c>
      <c r="I450">
        <v>0.5</v>
      </c>
      <c r="J450">
        <v>5.5</v>
      </c>
      <c r="K450">
        <v>6</v>
      </c>
      <c r="L450">
        <v>0.5</v>
      </c>
      <c r="N450">
        <v>10</v>
      </c>
      <c r="O450">
        <v>20</v>
      </c>
      <c r="P450" t="s">
        <v>271</v>
      </c>
    </row>
    <row r="451" spans="1:16">
      <c r="A451" t="s">
        <v>682</v>
      </c>
      <c r="B451" s="2" t="str">
        <f>Hyperlink("https://www.diodes.com/datasheet/download/DT1240-04LP.pdf")</f>
        <v>https://www.diodes.com/datasheet/download/DT1240-04LP.pdf</v>
      </c>
      <c r="C451" t="str">
        <f>Hyperlink("https://www.diodes.com/part/view/DT1240-04LP","DT1240-04LP")</f>
        <v>DT1240-04LP</v>
      </c>
      <c r="E451" t="s">
        <v>18</v>
      </c>
      <c r="F451" t="s">
        <v>19</v>
      </c>
      <c r="G451">
        <v>4</v>
      </c>
      <c r="H451" t="s">
        <v>70</v>
      </c>
      <c r="I451">
        <v>0.55</v>
      </c>
      <c r="J451">
        <v>5.5</v>
      </c>
      <c r="K451">
        <v>6</v>
      </c>
      <c r="L451">
        <v>0.5</v>
      </c>
      <c r="N451">
        <v>11</v>
      </c>
      <c r="O451">
        <v>14</v>
      </c>
      <c r="P451" t="s">
        <v>271</v>
      </c>
    </row>
    <row r="452" spans="1:16">
      <c r="A452" t="s">
        <v>683</v>
      </c>
      <c r="B452" s="2" t="str">
        <f>Hyperlink("https://www.diodes.com/datasheet/download/DT1240-04LP20.pdf")</f>
        <v>https://www.diodes.com/datasheet/download/DT1240-04LP20.pdf</v>
      </c>
      <c r="C452" t="str">
        <f>Hyperlink("https://www.diodes.com/part/view/DT1240-04LP20","DT1240-04LP20")</f>
        <v>DT1240-04LP20</v>
      </c>
      <c r="D452" t="s">
        <v>73</v>
      </c>
      <c r="E452" t="s">
        <v>18</v>
      </c>
      <c r="F452" t="s">
        <v>19</v>
      </c>
      <c r="G452">
        <v>4</v>
      </c>
      <c r="H452" t="s">
        <v>70</v>
      </c>
      <c r="I452">
        <v>0.55</v>
      </c>
      <c r="J452">
        <v>5.5</v>
      </c>
      <c r="K452">
        <v>6</v>
      </c>
      <c r="L452">
        <v>0.5</v>
      </c>
      <c r="N452">
        <v>11</v>
      </c>
      <c r="O452">
        <v>14</v>
      </c>
      <c r="P452" t="s">
        <v>684</v>
      </c>
    </row>
    <row r="453" spans="1:16">
      <c r="A453" t="s">
        <v>685</v>
      </c>
      <c r="B453" s="2" t="str">
        <f>Hyperlink("https://www.diodes.com/datasheet/download/DT1240-04LPQ.pdf")</f>
        <v>https://www.diodes.com/datasheet/download/DT1240-04LPQ.pdf</v>
      </c>
      <c r="C453" t="str">
        <f>Hyperlink("https://www.diodes.com/part/view/DT1240-04LPQ","DT1240-04LPQ")</f>
        <v>DT1240-04LPQ</v>
      </c>
      <c r="D453" t="s">
        <v>73</v>
      </c>
      <c r="E453" t="s">
        <v>32</v>
      </c>
      <c r="F453" t="s">
        <v>33</v>
      </c>
      <c r="G453">
        <v>4</v>
      </c>
      <c r="H453" t="s">
        <v>70</v>
      </c>
      <c r="I453">
        <v>0.55</v>
      </c>
      <c r="J453">
        <v>5.5</v>
      </c>
      <c r="K453">
        <v>6</v>
      </c>
      <c r="L453">
        <v>0.5</v>
      </c>
      <c r="N453">
        <v>11</v>
      </c>
      <c r="O453" t="s">
        <v>117</v>
      </c>
      <c r="P453" t="s">
        <v>271</v>
      </c>
    </row>
    <row r="454" spans="1:16">
      <c r="A454" t="s">
        <v>686</v>
      </c>
      <c r="B454" s="2" t="str">
        <f>Hyperlink("https://www.diodes.com/datasheet/download/DT1240-08LP3810.pdf")</f>
        <v>https://www.diodes.com/datasheet/download/DT1240-08LP3810.pdf</v>
      </c>
      <c r="C454" t="str">
        <f>Hyperlink("https://www.diodes.com/part/view/DT1240-08LP3810","DT1240-08LP3810")</f>
        <v>DT1240-08LP3810</v>
      </c>
      <c r="D454" t="s">
        <v>276</v>
      </c>
      <c r="E454" t="s">
        <v>18</v>
      </c>
      <c r="F454" t="s">
        <v>19</v>
      </c>
      <c r="G454">
        <v>8</v>
      </c>
      <c r="H454" t="s">
        <v>277</v>
      </c>
      <c r="I454">
        <v>0.6</v>
      </c>
      <c r="J454">
        <v>5.5</v>
      </c>
      <c r="K454">
        <v>6</v>
      </c>
      <c r="L454">
        <v>0.1</v>
      </c>
      <c r="N454">
        <v>11</v>
      </c>
      <c r="O454">
        <v>14</v>
      </c>
      <c r="P454" t="s">
        <v>278</v>
      </c>
    </row>
    <row r="455" spans="1:16">
      <c r="A455" t="s">
        <v>687</v>
      </c>
      <c r="B455" s="2" t="str">
        <f>Hyperlink("https://www.diodes.com/datasheet/download/DT1240A-04LP.pdf")</f>
        <v>https://www.diodes.com/datasheet/download/DT1240A-04LP.pdf</v>
      </c>
      <c r="C455" t="str">
        <f>Hyperlink("https://www.diodes.com/part/view/DT1240A-04LP","DT1240A-04LP")</f>
        <v>DT1240A-04LP</v>
      </c>
      <c r="D455" t="s">
        <v>269</v>
      </c>
      <c r="E455" t="s">
        <v>18</v>
      </c>
      <c r="F455" t="s">
        <v>19</v>
      </c>
      <c r="G455">
        <v>4</v>
      </c>
      <c r="H455" t="s">
        <v>70</v>
      </c>
      <c r="I455">
        <v>0.55</v>
      </c>
      <c r="J455">
        <v>3.3</v>
      </c>
      <c r="K455">
        <v>5</v>
      </c>
      <c r="L455">
        <v>0.1</v>
      </c>
      <c r="N455">
        <v>9.5</v>
      </c>
      <c r="O455">
        <v>14</v>
      </c>
      <c r="P455" t="s">
        <v>271</v>
      </c>
    </row>
    <row r="456" spans="1:16">
      <c r="A456" t="s">
        <v>688</v>
      </c>
      <c r="B456" s="2" t="str">
        <f>Hyperlink("https://www.diodes.com/datasheet/download/DT1240A-04LP20.pdf")</f>
        <v>https://www.diodes.com/datasheet/download/DT1240A-04LP20.pdf</v>
      </c>
      <c r="C456" t="str">
        <f>Hyperlink("https://www.diodes.com/part/view/DT1240A-04LP20","DT1240A-04LP20")</f>
        <v>DT1240A-04LP20</v>
      </c>
      <c r="D456" t="s">
        <v>73</v>
      </c>
      <c r="E456" t="s">
        <v>18</v>
      </c>
      <c r="F456" t="s">
        <v>19</v>
      </c>
      <c r="G456">
        <v>4</v>
      </c>
      <c r="H456" t="s">
        <v>70</v>
      </c>
      <c r="I456">
        <v>0.55</v>
      </c>
      <c r="J456">
        <v>3.3</v>
      </c>
      <c r="K456">
        <v>5</v>
      </c>
      <c r="L456">
        <v>1</v>
      </c>
      <c r="N456">
        <v>8.5</v>
      </c>
      <c r="O456">
        <v>14</v>
      </c>
      <c r="P456" t="s">
        <v>684</v>
      </c>
    </row>
    <row r="457" spans="1:16">
      <c r="A457" t="s">
        <v>689</v>
      </c>
      <c r="B457" s="2" t="str">
        <f>Hyperlink("https://www.diodes.com/datasheet/download/DT1240A-04LPQ.pdf")</f>
        <v>https://www.diodes.com/datasheet/download/DT1240A-04LPQ.pdf</v>
      </c>
      <c r="C457" t="str">
        <f>Hyperlink("https://www.diodes.com/part/view/DT1240A-04LPQ","DT1240A-04LPQ")</f>
        <v>DT1240A-04LPQ</v>
      </c>
      <c r="D457" t="s">
        <v>73</v>
      </c>
      <c r="E457" t="s">
        <v>32</v>
      </c>
      <c r="F457" t="s">
        <v>33</v>
      </c>
      <c r="G457">
        <v>4</v>
      </c>
      <c r="H457" t="s">
        <v>70</v>
      </c>
      <c r="I457">
        <v>0.55</v>
      </c>
      <c r="J457">
        <v>3.3</v>
      </c>
      <c r="K457">
        <v>5</v>
      </c>
      <c r="L457">
        <v>1</v>
      </c>
      <c r="N457">
        <v>9.5</v>
      </c>
      <c r="O457" t="s">
        <v>117</v>
      </c>
      <c r="P457" t="s">
        <v>271</v>
      </c>
    </row>
    <row r="458" spans="1:16">
      <c r="A458" t="s">
        <v>690</v>
      </c>
      <c r="B458" s="2" t="str">
        <f>Hyperlink("https://www.diodes.com/datasheet/download/DT1240A-08LP3810.pdf")</f>
        <v>https://www.diodes.com/datasheet/download/DT1240A-08LP3810.pdf</v>
      </c>
      <c r="C458" t="str">
        <f>Hyperlink("https://www.diodes.com/part/view/DT1240A-08LP3810","DT1240A-08LP3810")</f>
        <v>DT1240A-08LP3810</v>
      </c>
      <c r="D458" t="s">
        <v>276</v>
      </c>
      <c r="E458" t="s">
        <v>18</v>
      </c>
      <c r="F458" t="s">
        <v>19</v>
      </c>
      <c r="G458">
        <v>8</v>
      </c>
      <c r="H458" t="s">
        <v>277</v>
      </c>
      <c r="I458">
        <v>0.6</v>
      </c>
      <c r="J458">
        <v>3.3</v>
      </c>
      <c r="K458">
        <v>5</v>
      </c>
      <c r="L458">
        <v>0.1</v>
      </c>
      <c r="N458">
        <v>10</v>
      </c>
      <c r="O458">
        <v>14</v>
      </c>
      <c r="P458" t="s">
        <v>278</v>
      </c>
    </row>
    <row r="459" spans="1:16">
      <c r="A459" t="s">
        <v>691</v>
      </c>
      <c r="B459" s="2" t="str">
        <f>Hyperlink("https://www.diodes.com/datasheet/download/DT1240A-08LP3810Q.pdf")</f>
        <v>https://www.diodes.com/datasheet/download/DT1240A-08LP3810Q.pdf</v>
      </c>
      <c r="C459" t="str">
        <f>Hyperlink("https://www.diodes.com/part/view/DT1240A-08LP3810Q","DT1240A-08LP3810Q")</f>
        <v>DT1240A-08LP3810Q</v>
      </c>
      <c r="D459" t="s">
        <v>276</v>
      </c>
      <c r="E459" t="s">
        <v>32</v>
      </c>
      <c r="F459" t="s">
        <v>33</v>
      </c>
      <c r="G459">
        <v>8</v>
      </c>
      <c r="H459" t="s">
        <v>277</v>
      </c>
      <c r="I459">
        <v>0.6</v>
      </c>
      <c r="J459">
        <v>3.3</v>
      </c>
      <c r="K459">
        <v>5</v>
      </c>
      <c r="L459">
        <v>0.5</v>
      </c>
      <c r="N459">
        <v>10</v>
      </c>
      <c r="O459" t="s">
        <v>117</v>
      </c>
      <c r="P459" t="s">
        <v>278</v>
      </c>
    </row>
    <row r="460" spans="1:16">
      <c r="A460" t="s">
        <v>692</v>
      </c>
      <c r="B460" s="2" t="str">
        <f>Hyperlink("https://www.diodes.com/datasheet/download/DT1240E-04LP.pdf")</f>
        <v>https://www.diodes.com/datasheet/download/DT1240E-04LP.pdf</v>
      </c>
      <c r="C460" t="str">
        <f>Hyperlink("https://www.diodes.com/part/view/DT1240E-04LP","DT1240E-04LP")</f>
        <v>DT1240E-04LP</v>
      </c>
      <c r="D460" t="s">
        <v>73</v>
      </c>
      <c r="E460" t="s">
        <v>18</v>
      </c>
      <c r="F460" t="s">
        <v>19</v>
      </c>
      <c r="G460">
        <v>4</v>
      </c>
      <c r="H460" t="s">
        <v>70</v>
      </c>
      <c r="I460">
        <v>0.55</v>
      </c>
      <c r="J460">
        <v>3.3</v>
      </c>
      <c r="K460">
        <v>5</v>
      </c>
      <c r="L460">
        <v>0.1</v>
      </c>
      <c r="N460">
        <v>9.5</v>
      </c>
      <c r="O460">
        <v>12</v>
      </c>
      <c r="P460" t="s">
        <v>693</v>
      </c>
    </row>
    <row r="461" spans="1:16">
      <c r="A461" t="s">
        <v>694</v>
      </c>
      <c r="B461" s="2" t="str">
        <f>Hyperlink("https://www.diodes.com/datasheet/download/DT1240V3-04LP.pdf")</f>
        <v>https://www.diodes.com/datasheet/download/DT1240V3-04LP.pdf</v>
      </c>
      <c r="C461" t="str">
        <f>Hyperlink("https://www.diodes.com/part/view/DT1240V3-04LP","DT1240V3-04LP")</f>
        <v>DT1240V3-04LP</v>
      </c>
      <c r="D461" t="s">
        <v>695</v>
      </c>
      <c r="E461" t="s">
        <v>18</v>
      </c>
      <c r="F461" t="s">
        <v>19</v>
      </c>
      <c r="G461">
        <v>4</v>
      </c>
      <c r="H461" t="s">
        <v>70</v>
      </c>
      <c r="I461">
        <v>0.55</v>
      </c>
      <c r="J461">
        <v>3.3</v>
      </c>
      <c r="K461">
        <v>6</v>
      </c>
      <c r="L461">
        <v>0.01</v>
      </c>
      <c r="M461">
        <v>5.5</v>
      </c>
      <c r="N461">
        <v>11</v>
      </c>
      <c r="O461">
        <v>14</v>
      </c>
      <c r="P461" t="s">
        <v>271</v>
      </c>
    </row>
    <row r="462" spans="1:16">
      <c r="A462" t="s">
        <v>696</v>
      </c>
      <c r="B462" s="2" t="str">
        <f>Hyperlink("https://www.diodes.com/datasheet/download/DT1240V3-04SO.pdf")</f>
        <v>https://www.diodes.com/datasheet/download/DT1240V3-04SO.pdf</v>
      </c>
      <c r="C462" t="str">
        <f>Hyperlink("https://www.diodes.com/part/view/DT1240V3-04SO","DT1240V3-04SO")</f>
        <v>DT1240V3-04SO</v>
      </c>
      <c r="D462" t="s">
        <v>695</v>
      </c>
      <c r="E462" t="s">
        <v>18</v>
      </c>
      <c r="F462" t="s">
        <v>19</v>
      </c>
      <c r="G462">
        <v>4</v>
      </c>
      <c r="H462" t="s">
        <v>70</v>
      </c>
      <c r="I462">
        <v>0.55</v>
      </c>
      <c r="J462">
        <v>3.3</v>
      </c>
      <c r="K462">
        <v>6</v>
      </c>
      <c r="L462">
        <v>0.01</v>
      </c>
      <c r="M462">
        <v>5.5</v>
      </c>
      <c r="N462">
        <v>11</v>
      </c>
      <c r="O462">
        <v>14</v>
      </c>
      <c r="P462" t="s">
        <v>61</v>
      </c>
    </row>
    <row r="463" spans="1:16">
      <c r="A463" t="s">
        <v>697</v>
      </c>
      <c r="B463" s="2" t="str">
        <f>Hyperlink("https://www.diodes.com/datasheet/download/DT1446-04S.pdf")</f>
        <v>https://www.diodes.com/datasheet/download/DT1446-04S.pdf</v>
      </c>
      <c r="C463" t="str">
        <f>Hyperlink("https://www.diodes.com/part/view/DT1446-04S","DT1446-04S")</f>
        <v>DT1446-04S</v>
      </c>
      <c r="E463" t="s">
        <v>18</v>
      </c>
      <c r="F463" t="s">
        <v>19</v>
      </c>
      <c r="G463">
        <v>4</v>
      </c>
      <c r="H463" t="s">
        <v>70</v>
      </c>
      <c r="I463">
        <v>0.55</v>
      </c>
      <c r="J463">
        <v>5</v>
      </c>
      <c r="K463">
        <v>6</v>
      </c>
      <c r="L463">
        <v>1</v>
      </c>
      <c r="M463">
        <v>4.7</v>
      </c>
      <c r="N463">
        <v>8.5</v>
      </c>
      <c r="O463">
        <v>16</v>
      </c>
      <c r="P463" t="s">
        <v>74</v>
      </c>
    </row>
    <row r="464" spans="1:16">
      <c r="A464" t="s">
        <v>698</v>
      </c>
      <c r="B464" s="2" t="str">
        <f>Hyperlink("https://www.diodes.com/datasheet/download/DT1446-04SO.pdf")</f>
        <v>https://www.diodes.com/datasheet/download/DT1446-04SO.pdf</v>
      </c>
      <c r="C464" t="str">
        <f>Hyperlink("https://www.diodes.com/part/view/DT1446-04SO","DT1446-04SO")</f>
        <v>DT1446-04SO</v>
      </c>
      <c r="E464" t="s">
        <v>18</v>
      </c>
      <c r="F464" t="s">
        <v>19</v>
      </c>
      <c r="G464">
        <v>4</v>
      </c>
      <c r="H464" t="s">
        <v>70</v>
      </c>
      <c r="I464">
        <v>0.55</v>
      </c>
      <c r="J464">
        <v>5</v>
      </c>
      <c r="K464">
        <v>6</v>
      </c>
      <c r="L464">
        <v>1</v>
      </c>
      <c r="M464">
        <v>4.7</v>
      </c>
      <c r="N464">
        <v>8.5</v>
      </c>
      <c r="O464">
        <v>16</v>
      </c>
      <c r="P464" t="s">
        <v>61</v>
      </c>
    </row>
    <row r="465" spans="1:16">
      <c r="A465" t="s">
        <v>699</v>
      </c>
      <c r="B465" s="2" t="str">
        <f>Hyperlink("https://www.diodes.com/datasheet/download/DT1446-04TS.pdf")</f>
        <v>https://www.diodes.com/datasheet/download/DT1446-04TS.pdf</v>
      </c>
      <c r="C465" t="str">
        <f>Hyperlink("https://www.diodes.com/part/view/DT1446-04TS","DT1446-04TS")</f>
        <v>DT1446-04TS</v>
      </c>
      <c r="E465" t="s">
        <v>18</v>
      </c>
      <c r="F465" t="s">
        <v>19</v>
      </c>
      <c r="G465">
        <v>4</v>
      </c>
      <c r="H465" t="s">
        <v>70</v>
      </c>
      <c r="I465">
        <v>0.55</v>
      </c>
      <c r="J465">
        <v>5</v>
      </c>
      <c r="K465">
        <v>6</v>
      </c>
      <c r="L465">
        <v>1</v>
      </c>
      <c r="M465">
        <v>4.7</v>
      </c>
      <c r="N465">
        <v>8.5</v>
      </c>
      <c r="O465">
        <v>16</v>
      </c>
      <c r="P465" t="s">
        <v>77</v>
      </c>
    </row>
    <row r="466" spans="1:16">
      <c r="A466" t="s">
        <v>700</v>
      </c>
      <c r="B466" s="2" t="str">
        <f>Hyperlink("https://www.diodes.com/datasheet/download/DT1446-04V.pdf")</f>
        <v>https://www.diodes.com/datasheet/download/DT1446-04V.pdf</v>
      </c>
      <c r="C466" t="str">
        <f>Hyperlink("https://www.diodes.com/part/view/DT1446-04V","DT1446-04V")</f>
        <v>DT1446-04V</v>
      </c>
      <c r="E466" t="s">
        <v>18</v>
      </c>
      <c r="F466" t="s">
        <v>19</v>
      </c>
      <c r="G466">
        <v>4</v>
      </c>
      <c r="H466" t="s">
        <v>70</v>
      </c>
      <c r="I466">
        <v>0.55</v>
      </c>
      <c r="J466">
        <v>5.5</v>
      </c>
      <c r="K466">
        <v>6</v>
      </c>
      <c r="L466">
        <v>1</v>
      </c>
      <c r="M466">
        <v>4.7</v>
      </c>
      <c r="N466">
        <v>8.5</v>
      </c>
      <c r="O466">
        <v>16</v>
      </c>
      <c r="P466" t="s">
        <v>81</v>
      </c>
    </row>
    <row r="467" spans="1:16">
      <c r="A467" t="s">
        <v>701</v>
      </c>
      <c r="B467" s="2" t="str">
        <f>Hyperlink("https://www.diodes.com/datasheet/download/DT1452-02SO.pdf")</f>
        <v>https://www.diodes.com/datasheet/download/DT1452-02SO.pdf</v>
      </c>
      <c r="C467" t="str">
        <f>Hyperlink("https://www.diodes.com/part/view/DT1452-02SO","DT1452-02SO")</f>
        <v>DT1452-02SO</v>
      </c>
      <c r="D467" t="s">
        <v>64</v>
      </c>
      <c r="E467" t="s">
        <v>18</v>
      </c>
      <c r="F467" t="s">
        <v>19</v>
      </c>
      <c r="G467">
        <v>2</v>
      </c>
      <c r="H467" t="s">
        <v>56</v>
      </c>
      <c r="I467">
        <v>1.2</v>
      </c>
      <c r="J467">
        <v>5.5</v>
      </c>
      <c r="K467">
        <v>7</v>
      </c>
      <c r="L467">
        <v>0.01</v>
      </c>
      <c r="N467">
        <v>11</v>
      </c>
      <c r="O467">
        <v>16</v>
      </c>
      <c r="P467" t="s">
        <v>43</v>
      </c>
    </row>
    <row r="468" spans="1:16">
      <c r="A468" t="s">
        <v>702</v>
      </c>
      <c r="B468" s="2" t="str">
        <f>Hyperlink("https://www.diodes.com/datasheet/download/DT1452-02SOQ.pdf")</f>
        <v>https://www.diodes.com/datasheet/download/DT1452-02SOQ.pdf</v>
      </c>
      <c r="C468" t="str">
        <f>Hyperlink("https://www.diodes.com/part/view/DT1452-02SOQ","DT1452-02SOQ")</f>
        <v>DT1452-02SOQ</v>
      </c>
      <c r="D468" t="s">
        <v>703</v>
      </c>
      <c r="E468" t="s">
        <v>32</v>
      </c>
      <c r="F468" t="s">
        <v>33</v>
      </c>
      <c r="G468">
        <v>2</v>
      </c>
      <c r="H468" t="s">
        <v>56</v>
      </c>
      <c r="I468">
        <v>1.2</v>
      </c>
      <c r="J468">
        <v>5.5</v>
      </c>
      <c r="K468">
        <v>7</v>
      </c>
      <c r="N468">
        <v>9.5</v>
      </c>
      <c r="O468">
        <v>9.5</v>
      </c>
      <c r="P468" t="s">
        <v>43</v>
      </c>
    </row>
    <row r="469" spans="1:16">
      <c r="A469" t="s">
        <v>704</v>
      </c>
      <c r="B469" s="2" t="str">
        <f>Hyperlink("https://www.diodes.com/datasheet/download/DT2041-04SO.pdf")</f>
        <v>https://www.diodes.com/datasheet/download/DT2041-04SO.pdf</v>
      </c>
      <c r="C469" t="str">
        <f>Hyperlink("https://www.diodes.com/part/view/DT2041-04SO","DT2041-04SO")</f>
        <v>DT2041-04SO</v>
      </c>
      <c r="D469" t="s">
        <v>73</v>
      </c>
      <c r="E469" t="s">
        <v>18</v>
      </c>
      <c r="F469" t="s">
        <v>19</v>
      </c>
      <c r="G469">
        <v>4</v>
      </c>
      <c r="H469" t="s">
        <v>70</v>
      </c>
      <c r="I469">
        <v>1</v>
      </c>
      <c r="J469">
        <v>5.5</v>
      </c>
      <c r="K469">
        <v>6</v>
      </c>
      <c r="L469">
        <v>0.01</v>
      </c>
      <c r="N469">
        <v>10.5</v>
      </c>
      <c r="O469">
        <v>30</v>
      </c>
      <c r="P469" t="s">
        <v>61</v>
      </c>
    </row>
    <row r="470" spans="1:16">
      <c r="A470" t="s">
        <v>705</v>
      </c>
      <c r="B470" s="2" t="str">
        <f>Hyperlink("https://www.diodes.com/datasheet/download/DT2042-04SO.pdf")</f>
        <v>https://www.diodes.com/datasheet/download/DT2042-04SO.pdf</v>
      </c>
      <c r="C470" t="str">
        <f>Hyperlink("https://www.diodes.com/part/view/DT2042-04SO","DT2042-04SO")</f>
        <v>DT2042-04SO</v>
      </c>
      <c r="E470" t="s">
        <v>18</v>
      </c>
      <c r="F470" t="s">
        <v>19</v>
      </c>
      <c r="G470">
        <v>4</v>
      </c>
      <c r="H470" t="s">
        <v>70</v>
      </c>
      <c r="I470">
        <v>1.2</v>
      </c>
      <c r="J470">
        <v>5.5</v>
      </c>
      <c r="K470">
        <v>6</v>
      </c>
      <c r="L470">
        <v>1</v>
      </c>
      <c r="M470">
        <v>10</v>
      </c>
      <c r="N470">
        <v>10.5</v>
      </c>
      <c r="O470">
        <v>30</v>
      </c>
      <c r="P470" t="s">
        <v>61</v>
      </c>
    </row>
    <row r="471" spans="1:16">
      <c r="A471" t="s">
        <v>706</v>
      </c>
      <c r="B471" s="2" t="str">
        <f>Hyperlink("https://www.diodes.com/datasheet/download/DT2042-04SOQ.pdf")</f>
        <v>https://www.diodes.com/datasheet/download/DT2042-04SOQ.pdf</v>
      </c>
      <c r="C471" t="str">
        <f>Hyperlink("https://www.diodes.com/part/view/DT2042-04SOQ","DT2042-04SOQ")</f>
        <v>DT2042-04SOQ</v>
      </c>
      <c r="D471" t="s">
        <v>437</v>
      </c>
      <c r="E471" t="s">
        <v>32</v>
      </c>
      <c r="F471" t="s">
        <v>33</v>
      </c>
      <c r="G471">
        <v>4</v>
      </c>
      <c r="H471" t="s">
        <v>70</v>
      </c>
      <c r="I471">
        <v>1.2</v>
      </c>
      <c r="J471">
        <v>5.5</v>
      </c>
      <c r="K471">
        <v>6</v>
      </c>
      <c r="L471">
        <v>1</v>
      </c>
      <c r="N471">
        <v>10.5</v>
      </c>
      <c r="O471" t="s">
        <v>21</v>
      </c>
      <c r="P471" t="s">
        <v>61</v>
      </c>
    </row>
    <row r="472" spans="1:16">
      <c r="A472" t="s">
        <v>707</v>
      </c>
      <c r="B472" s="2" t="str">
        <f>Hyperlink("https://www.diodes.com/datasheet/download/DT2042-04TS.pdf")</f>
        <v>https://www.diodes.com/datasheet/download/DT2042-04TS.pdf</v>
      </c>
      <c r="C472" t="str">
        <f>Hyperlink("https://www.diodes.com/part/view/DT2042-04TS","DT2042-04TS")</f>
        <v>DT2042-04TS</v>
      </c>
      <c r="E472" t="s">
        <v>18</v>
      </c>
      <c r="F472" t="s">
        <v>19</v>
      </c>
      <c r="G472">
        <v>4</v>
      </c>
      <c r="H472" t="s">
        <v>70</v>
      </c>
      <c r="I472">
        <v>1.2</v>
      </c>
      <c r="J472">
        <v>5.5</v>
      </c>
      <c r="M472">
        <v>10</v>
      </c>
      <c r="P472" t="s">
        <v>77</v>
      </c>
    </row>
    <row r="473" spans="1:16">
      <c r="A473" t="s">
        <v>708</v>
      </c>
      <c r="B473" s="2" t="str">
        <f>Hyperlink("https://www.diodes.com/datasheet/download/DT2636-04S.pdf")</f>
        <v>https://www.diodes.com/datasheet/download/DT2636-04S.pdf</v>
      </c>
      <c r="C473" t="str">
        <f>Hyperlink("https://www.diodes.com/part/view/DT2636-04S","DT2636-04S")</f>
        <v>DT2636-04S</v>
      </c>
      <c r="E473" t="s">
        <v>18</v>
      </c>
      <c r="F473" t="s">
        <v>19</v>
      </c>
      <c r="G473">
        <v>4</v>
      </c>
      <c r="H473" t="s">
        <v>70</v>
      </c>
      <c r="I473">
        <v>0.55</v>
      </c>
      <c r="J473">
        <v>5.5</v>
      </c>
      <c r="K473">
        <v>7</v>
      </c>
      <c r="L473">
        <v>0.01</v>
      </c>
      <c r="M473">
        <v>6.5</v>
      </c>
      <c r="N473">
        <v>11</v>
      </c>
      <c r="O473">
        <v>18</v>
      </c>
      <c r="P473" t="s">
        <v>74</v>
      </c>
    </row>
    <row r="474" spans="1:16">
      <c r="A474" t="s">
        <v>709</v>
      </c>
      <c r="B474" s="2" t="str">
        <f>Hyperlink("https://www.diodes.com/datasheet/download/DT6250-06MR.pdf")</f>
        <v>https://www.diodes.com/datasheet/download/DT6250-06MR.pdf</v>
      </c>
      <c r="C474" t="str">
        <f>Hyperlink("https://www.diodes.com/part/view/DT6250-06MR","DT6250-06MR")</f>
        <v>DT6250-06MR</v>
      </c>
      <c r="E474" t="s">
        <v>18</v>
      </c>
      <c r="F474" t="s">
        <v>19</v>
      </c>
      <c r="G474">
        <v>6</v>
      </c>
      <c r="H474" t="s">
        <v>382</v>
      </c>
      <c r="I474">
        <v>0.32</v>
      </c>
      <c r="J474">
        <v>5</v>
      </c>
      <c r="K474">
        <v>6</v>
      </c>
      <c r="L474">
        <v>0.01</v>
      </c>
      <c r="M474">
        <v>4</v>
      </c>
      <c r="N474">
        <v>10</v>
      </c>
      <c r="O474" t="s">
        <v>37</v>
      </c>
      <c r="P474" t="s">
        <v>710</v>
      </c>
    </row>
    <row r="475" spans="1:16">
      <c r="A475" t="s">
        <v>711</v>
      </c>
      <c r="B475" s="2" t="str">
        <f>Hyperlink("https://www.diodes.com/datasheet/download/DTVS20SP4UR.pdf")</f>
        <v>https://www.diodes.com/datasheet/download/DTVS20SP4UR.pdf</v>
      </c>
      <c r="C475" t="str">
        <f>Hyperlink("https://www.diodes.com/part/view/DTVS20SP4UR","DTVS20SP4UR")</f>
        <v>DTVS20SP4UR</v>
      </c>
      <c r="D475" t="s">
        <v>712</v>
      </c>
      <c r="E475" t="s">
        <v>18</v>
      </c>
      <c r="F475" t="s">
        <v>19</v>
      </c>
      <c r="G475">
        <v>1</v>
      </c>
      <c r="H475" t="s">
        <v>20</v>
      </c>
      <c r="J475">
        <v>20</v>
      </c>
      <c r="K475">
        <v>22.2</v>
      </c>
      <c r="L475">
        <v>1</v>
      </c>
      <c r="N475">
        <v>32.4</v>
      </c>
      <c r="O475">
        <v>30</v>
      </c>
      <c r="P475" t="s">
        <v>125</v>
      </c>
    </row>
    <row r="476" spans="1:16">
      <c r="A476" t="s">
        <v>713</v>
      </c>
      <c r="B476" s="2" t="str">
        <f>Hyperlink("https://www.diodes.com/datasheet/download/DTVS22SP4UR.pdf")</f>
        <v>https://www.diodes.com/datasheet/download/DTVS22SP4UR.pdf</v>
      </c>
      <c r="C476" t="str">
        <f>Hyperlink("https://www.diodes.com/part/view/DTVS22SP4UR","DTVS22SP4UR")</f>
        <v>DTVS22SP4UR</v>
      </c>
      <c r="D476" t="s">
        <v>712</v>
      </c>
      <c r="E476" t="s">
        <v>18</v>
      </c>
      <c r="F476" t="s">
        <v>19</v>
      </c>
      <c r="G476">
        <v>1</v>
      </c>
      <c r="H476" t="s">
        <v>20</v>
      </c>
      <c r="J476">
        <v>22</v>
      </c>
      <c r="K476">
        <v>24.4</v>
      </c>
      <c r="L476">
        <v>1</v>
      </c>
      <c r="N476">
        <v>35.5</v>
      </c>
      <c r="O476">
        <v>30</v>
      </c>
      <c r="P476" t="s">
        <v>125</v>
      </c>
    </row>
    <row r="477" spans="1:16">
      <c r="A477" t="s">
        <v>714</v>
      </c>
      <c r="B477" s="2" t="str">
        <f>Hyperlink("https://www.diodes.com/datasheet/download/DUP1105SOQ.pdf")</f>
        <v>https://www.diodes.com/datasheet/download/DUP1105SOQ.pdf</v>
      </c>
      <c r="C477" t="str">
        <f>Hyperlink("https://www.diodes.com/part/view/DUP1105SOQ","DUP1105SOQ")</f>
        <v>DUP1105SOQ</v>
      </c>
      <c r="D477" t="s">
        <v>715</v>
      </c>
      <c r="E477" t="s">
        <v>32</v>
      </c>
      <c r="F477" t="s">
        <v>33</v>
      </c>
      <c r="G477">
        <v>2</v>
      </c>
      <c r="H477" t="s">
        <v>56</v>
      </c>
      <c r="J477">
        <v>24</v>
      </c>
      <c r="K477">
        <v>25.7</v>
      </c>
      <c r="L477">
        <v>10</v>
      </c>
      <c r="N477">
        <v>44</v>
      </c>
      <c r="O477">
        <v>30</v>
      </c>
      <c r="P477" t="s">
        <v>43</v>
      </c>
    </row>
    <row r="478" spans="1:16">
      <c r="A478" t="s">
        <v>716</v>
      </c>
      <c r="B478" s="2" t="str">
        <f>Hyperlink("https://www.diodes.com/datasheet/download/DUP2105SOQ.pdf")</f>
        <v>https://www.diodes.com/datasheet/download/DUP2105SOQ.pdf</v>
      </c>
      <c r="C478" t="str">
        <f>Hyperlink("https://www.diodes.com/part/view/DUP2105SOQ","DUP2105SOQ")</f>
        <v>DUP2105SOQ</v>
      </c>
      <c r="D478" t="s">
        <v>717</v>
      </c>
      <c r="E478" t="s">
        <v>32</v>
      </c>
      <c r="F478" t="s">
        <v>33</v>
      </c>
      <c r="G478">
        <v>2</v>
      </c>
      <c r="H478" t="s">
        <v>295</v>
      </c>
      <c r="J478">
        <v>24</v>
      </c>
      <c r="K478">
        <v>26.2</v>
      </c>
      <c r="L478">
        <v>10</v>
      </c>
      <c r="N478">
        <v>44</v>
      </c>
      <c r="O478">
        <v>30</v>
      </c>
      <c r="P478" t="s">
        <v>43</v>
      </c>
    </row>
    <row r="479" spans="1:16">
      <c r="A479" t="s">
        <v>718</v>
      </c>
      <c r="B479" s="2" t="str">
        <f>Hyperlink("https://www.diodes.com/datasheet/download/DUP3105SOQ.pdf")</f>
        <v>https://www.diodes.com/datasheet/download/DUP3105SOQ.pdf</v>
      </c>
      <c r="C479" t="str">
        <f>Hyperlink("https://www.diodes.com/part/view/DUP3105SOQ","DUP3105SOQ")</f>
        <v>DUP3105SOQ</v>
      </c>
      <c r="D479" t="s">
        <v>715</v>
      </c>
      <c r="E479" t="s">
        <v>32</v>
      </c>
      <c r="F479" t="s">
        <v>33</v>
      </c>
      <c r="G479">
        <v>2</v>
      </c>
      <c r="H479" t="s">
        <v>295</v>
      </c>
      <c r="J479">
        <v>32</v>
      </c>
      <c r="K479">
        <v>35.6</v>
      </c>
      <c r="L479">
        <v>10</v>
      </c>
      <c r="N479">
        <v>66</v>
      </c>
      <c r="O479">
        <v>30</v>
      </c>
      <c r="P479" t="s">
        <v>43</v>
      </c>
    </row>
    <row r="480" spans="1:16">
      <c r="A480" t="s">
        <v>719</v>
      </c>
      <c r="B480" s="2" t="str">
        <f>Hyperlink("https://www.diodes.com/datasheet/download/DZQA5V6AXV5.pdf")</f>
        <v>https://www.diodes.com/datasheet/download/DZQA5V6AXV5.pdf</v>
      </c>
      <c r="C480" t="str">
        <f>Hyperlink("https://www.diodes.com/part/view/DZQA5V6AXV5","DZQA5V6AXV5")</f>
        <v>DZQA5V6AXV5</v>
      </c>
      <c r="D480" t="s">
        <v>633</v>
      </c>
      <c r="E480" t="s">
        <v>18</v>
      </c>
      <c r="F480" t="s">
        <v>33</v>
      </c>
      <c r="G480">
        <v>4</v>
      </c>
      <c r="H480" t="s">
        <v>70</v>
      </c>
      <c r="I480">
        <v>18.7</v>
      </c>
      <c r="J480">
        <v>3</v>
      </c>
      <c r="K480">
        <v>5.3</v>
      </c>
      <c r="N480">
        <v>13</v>
      </c>
      <c r="P480" t="s">
        <v>416</v>
      </c>
    </row>
    <row r="481" spans="1:16">
      <c r="A481" t="s">
        <v>720</v>
      </c>
      <c r="B481" s="2" t="str">
        <f>Hyperlink("https://www.diodes.com/datasheet/download/DZQA6V8AXV5.pdf")</f>
        <v>https://www.diodes.com/datasheet/download/DZQA6V8AXV5.pdf</v>
      </c>
      <c r="C481" t="str">
        <f>Hyperlink("https://www.diodes.com/part/view/DZQA6V8AXV5","DZQA6V8AXV5")</f>
        <v>DZQA6V8AXV5</v>
      </c>
      <c r="D481" t="s">
        <v>633</v>
      </c>
      <c r="E481" t="s">
        <v>18</v>
      </c>
      <c r="F481" t="s">
        <v>33</v>
      </c>
      <c r="G481">
        <v>4</v>
      </c>
      <c r="H481" t="s">
        <v>70</v>
      </c>
      <c r="I481">
        <v>12.5</v>
      </c>
      <c r="J481">
        <v>4.3</v>
      </c>
      <c r="K481">
        <v>6.47</v>
      </c>
      <c r="N481">
        <v>13</v>
      </c>
      <c r="P481" t="s">
        <v>416</v>
      </c>
    </row>
    <row r="482" spans="1:16">
      <c r="A482" t="s">
        <v>721</v>
      </c>
      <c r="B482" s="2" t="str">
        <f>Hyperlink("https://www.diodes.com/datasheet/download/L25L5V0CB2.pdf")</f>
        <v>https://www.diodes.com/datasheet/download/L25L5V0CB2.pdf</v>
      </c>
      <c r="C482" t="str">
        <f>Hyperlink("https://www.diodes.com/part/view/L25L5V0CB2","L25L5V0CB2")</f>
        <v>L25L5V0CB2</v>
      </c>
      <c r="D482" t="s">
        <v>722</v>
      </c>
      <c r="E482" t="s">
        <v>18</v>
      </c>
      <c r="F482" t="s">
        <v>19</v>
      </c>
      <c r="G482">
        <v>1</v>
      </c>
      <c r="H482" t="s">
        <v>28</v>
      </c>
      <c r="I482">
        <v>2</v>
      </c>
      <c r="J482">
        <v>5</v>
      </c>
      <c r="K482">
        <v>6</v>
      </c>
      <c r="L482">
        <v>5</v>
      </c>
      <c r="N482">
        <v>15</v>
      </c>
      <c r="O482" t="s">
        <v>54</v>
      </c>
      <c r="P482" t="s">
        <v>723</v>
      </c>
    </row>
    <row r="483" spans="1:16">
      <c r="A483" t="s">
        <v>724</v>
      </c>
      <c r="B483" s="2" t="str">
        <f>Hyperlink("https://www.diodes.com/datasheet/download/L30ESD5V0AC3-2.pdf")</f>
        <v>https://www.diodes.com/datasheet/download/L30ESD5V0AC3-2.pdf</v>
      </c>
      <c r="C483" t="str">
        <f>Hyperlink("https://www.diodes.com/part/view/L30ESD5V0AC3-2","L30ESD5V0AC3-2")</f>
        <v>L30ESD5V0AC3-2</v>
      </c>
      <c r="D483" t="s">
        <v>91</v>
      </c>
      <c r="E483" t="s">
        <v>18</v>
      </c>
      <c r="F483" t="s">
        <v>19</v>
      </c>
      <c r="G483">
        <v>2</v>
      </c>
      <c r="H483" t="s">
        <v>56</v>
      </c>
      <c r="I483">
        <v>157</v>
      </c>
      <c r="J483">
        <v>5</v>
      </c>
      <c r="K483">
        <v>6.4</v>
      </c>
      <c r="L483">
        <v>1</v>
      </c>
      <c r="N483">
        <v>20</v>
      </c>
      <c r="O483" t="s">
        <v>37</v>
      </c>
      <c r="P483" t="s">
        <v>725</v>
      </c>
    </row>
    <row r="484" spans="1:16">
      <c r="A484" t="s">
        <v>726</v>
      </c>
      <c r="B484" s="2" t="str">
        <f>Hyperlink("https://www.diodes.com/datasheet/download/L50L5V0CB2.pdf")</f>
        <v>https://www.diodes.com/datasheet/download/L50L5V0CB2.pdf</v>
      </c>
      <c r="C484" t="str">
        <f>Hyperlink("https://www.diodes.com/part/view/L50L5V0CB2","L50L5V0CB2")</f>
        <v>L50L5V0CB2</v>
      </c>
      <c r="D484" t="s">
        <v>727</v>
      </c>
      <c r="E484" t="s">
        <v>18</v>
      </c>
      <c r="F484" t="s">
        <v>19</v>
      </c>
      <c r="G484">
        <v>1</v>
      </c>
      <c r="H484" t="s">
        <v>28</v>
      </c>
      <c r="I484">
        <v>2.7</v>
      </c>
      <c r="J484">
        <v>5</v>
      </c>
      <c r="K484">
        <v>6.8</v>
      </c>
      <c r="L484">
        <v>5</v>
      </c>
      <c r="N484">
        <v>20</v>
      </c>
      <c r="O484" t="s">
        <v>21</v>
      </c>
      <c r="P484" t="s">
        <v>723</v>
      </c>
    </row>
    <row r="485" spans="1:16">
      <c r="A485" t="s">
        <v>728</v>
      </c>
      <c r="B485" s="2" t="str">
        <f>Hyperlink("https://www.diodes.com/datasheet/download/ds45190.pdf")</f>
        <v>https://www.diodes.com/datasheet/download/ds45190.pdf</v>
      </c>
      <c r="C485" t="str">
        <f>Hyperlink("https://www.diodes.com/part/view/MMBZ10VALA","MMBZ10VALA")</f>
        <v>MMBZ10VALA</v>
      </c>
      <c r="D485" t="s">
        <v>729</v>
      </c>
      <c r="E485" t="s">
        <v>18</v>
      </c>
      <c r="F485" t="s">
        <v>33</v>
      </c>
      <c r="G485">
        <v>2</v>
      </c>
      <c r="H485" t="s">
        <v>56</v>
      </c>
      <c r="J485">
        <v>6.5</v>
      </c>
      <c r="K485">
        <v>9.5</v>
      </c>
      <c r="L485">
        <v>0.3</v>
      </c>
      <c r="M485">
        <v>1.7</v>
      </c>
      <c r="N485">
        <v>14.2</v>
      </c>
      <c r="P485" t="s">
        <v>43</v>
      </c>
    </row>
    <row r="486" spans="1:16">
      <c r="A486" t="s">
        <v>730</v>
      </c>
      <c r="B486" s="2" t="str">
        <f>Hyperlink("https://www.diodes.com/datasheet/download/ds45282.pdf")</f>
        <v>https://www.diodes.com/datasheet/download/ds45282.pdf</v>
      </c>
      <c r="C486" t="str">
        <f>Hyperlink("https://www.diodes.com/part/view/MMBZ10VALAQ","MMBZ10VALAQ")</f>
        <v>MMBZ10VALAQ</v>
      </c>
      <c r="D486" t="s">
        <v>729</v>
      </c>
      <c r="E486" t="s">
        <v>32</v>
      </c>
      <c r="F486" t="s">
        <v>33</v>
      </c>
      <c r="G486">
        <v>2</v>
      </c>
      <c r="H486" t="s">
        <v>56</v>
      </c>
      <c r="J486">
        <v>6.5</v>
      </c>
      <c r="K486">
        <v>9.5</v>
      </c>
      <c r="L486">
        <v>0.3</v>
      </c>
      <c r="M486">
        <v>1.7</v>
      </c>
      <c r="N486">
        <v>14.2</v>
      </c>
      <c r="P486" t="s">
        <v>43</v>
      </c>
    </row>
    <row r="487" spans="1:16">
      <c r="A487" t="s">
        <v>731</v>
      </c>
      <c r="B487" s="2" t="str">
        <f>Hyperlink("https://www.diodes.com/datasheet/download/ds45434.pdf")</f>
        <v>https://www.diodes.com/datasheet/download/ds45434.pdf</v>
      </c>
      <c r="C487" t="str">
        <f>Hyperlink("https://www.diodes.com/part/view/MMBZ10VCLA","MMBZ10VCLA")</f>
        <v>MMBZ10VCLA</v>
      </c>
      <c r="D487" t="s">
        <v>729</v>
      </c>
      <c r="E487" t="s">
        <v>18</v>
      </c>
      <c r="F487" t="s">
        <v>33</v>
      </c>
      <c r="G487">
        <v>2</v>
      </c>
      <c r="H487" t="s">
        <v>56</v>
      </c>
      <c r="J487">
        <v>6.5</v>
      </c>
      <c r="K487">
        <v>9.5</v>
      </c>
      <c r="L487">
        <v>0.3</v>
      </c>
      <c r="M487">
        <v>1.7</v>
      </c>
      <c r="N487">
        <v>14.2</v>
      </c>
      <c r="O487" t="s">
        <v>732</v>
      </c>
      <c r="P487" t="s">
        <v>43</v>
      </c>
    </row>
    <row r="488" spans="1:16">
      <c r="A488" t="s">
        <v>733</v>
      </c>
      <c r="B488" s="2" t="str">
        <f>Hyperlink("https://www.diodes.com/datasheet/download/ds46087.pdf")</f>
        <v>https://www.diodes.com/datasheet/download/ds46087.pdf</v>
      </c>
      <c r="C488" t="str">
        <f>Hyperlink("https://www.diodes.com/part/view/MMBZ10VCLAQ","MMBZ10VCLAQ")</f>
        <v>MMBZ10VCLAQ</v>
      </c>
      <c r="D488" t="s">
        <v>729</v>
      </c>
      <c r="E488" t="s">
        <v>32</v>
      </c>
      <c r="F488" t="s">
        <v>33</v>
      </c>
      <c r="G488">
        <v>2</v>
      </c>
      <c r="H488" t="s">
        <v>56</v>
      </c>
      <c r="J488">
        <v>6.5</v>
      </c>
      <c r="K488">
        <v>9.5</v>
      </c>
      <c r="L488">
        <v>0.3</v>
      </c>
      <c r="M488">
        <v>1.7</v>
      </c>
      <c r="N488">
        <v>14.2</v>
      </c>
      <c r="O488" t="s">
        <v>732</v>
      </c>
      <c r="P488" t="s">
        <v>43</v>
      </c>
    </row>
    <row r="489" spans="1:16">
      <c r="A489" t="s">
        <v>734</v>
      </c>
      <c r="B489" s="2" t="str">
        <f>Hyperlink("https://www.diodes.com/datasheet/download/ds45190.pdf")</f>
        <v>https://www.diodes.com/datasheet/download/ds45190.pdf</v>
      </c>
      <c r="C489" t="str">
        <f>Hyperlink("https://www.diodes.com/part/view/MMBZ15VALA","MMBZ15VALA")</f>
        <v>MMBZ15VALA</v>
      </c>
      <c r="D489" t="s">
        <v>735</v>
      </c>
      <c r="E489" t="s">
        <v>18</v>
      </c>
      <c r="F489" t="s">
        <v>33</v>
      </c>
      <c r="G489">
        <v>2</v>
      </c>
      <c r="H489" t="s">
        <v>56</v>
      </c>
      <c r="J489">
        <v>12</v>
      </c>
      <c r="K489">
        <v>14.25</v>
      </c>
      <c r="L489">
        <v>0.05</v>
      </c>
      <c r="N489">
        <v>21</v>
      </c>
      <c r="P489" t="s">
        <v>43</v>
      </c>
    </row>
    <row r="490" spans="1:16">
      <c r="A490" t="s">
        <v>736</v>
      </c>
      <c r="B490" s="2" t="str">
        <f>Hyperlink("https://www.diodes.com/datasheet/download/ds45282.pdf")</f>
        <v>https://www.diodes.com/datasheet/download/ds45282.pdf</v>
      </c>
      <c r="C490" t="str">
        <f>Hyperlink("https://www.diodes.com/part/view/MMBZ15VALAQ","MMBZ15VALAQ")</f>
        <v>MMBZ15VALAQ</v>
      </c>
      <c r="D490" t="s">
        <v>735</v>
      </c>
      <c r="E490" t="s">
        <v>32</v>
      </c>
      <c r="F490" t="s">
        <v>33</v>
      </c>
      <c r="G490">
        <v>2</v>
      </c>
      <c r="H490" t="s">
        <v>56</v>
      </c>
      <c r="J490">
        <v>12</v>
      </c>
      <c r="K490">
        <v>14.25</v>
      </c>
      <c r="L490">
        <v>0.05</v>
      </c>
      <c r="N490">
        <v>21</v>
      </c>
      <c r="P490" t="s">
        <v>43</v>
      </c>
    </row>
    <row r="491" spans="1:16">
      <c r="A491" t="s">
        <v>737</v>
      </c>
      <c r="B491" s="2" t="str">
        <f>Hyperlink("https://www.diodes.com/datasheet/download/ds45434.pdf")</f>
        <v>https://www.diodes.com/datasheet/download/ds45434.pdf</v>
      </c>
      <c r="C491" t="str">
        <f>Hyperlink("https://www.diodes.com/part/view/MMBZ15VCLA","MMBZ15VCLA")</f>
        <v>MMBZ15VCLA</v>
      </c>
      <c r="D491" t="s">
        <v>729</v>
      </c>
      <c r="E491" t="s">
        <v>18</v>
      </c>
      <c r="F491" t="s">
        <v>33</v>
      </c>
      <c r="G491">
        <v>2</v>
      </c>
      <c r="H491" t="s">
        <v>56</v>
      </c>
      <c r="J491">
        <v>12</v>
      </c>
      <c r="K491">
        <v>14.25</v>
      </c>
      <c r="L491">
        <v>0.05</v>
      </c>
      <c r="M491">
        <v>1.9</v>
      </c>
      <c r="N491">
        <v>21</v>
      </c>
      <c r="P491" t="s">
        <v>43</v>
      </c>
    </row>
    <row r="492" spans="1:16">
      <c r="A492" t="s">
        <v>738</v>
      </c>
      <c r="B492" s="2" t="str">
        <f>Hyperlink("https://www.diodes.com/datasheet/download/ds46087.pdf")</f>
        <v>https://www.diodes.com/datasheet/download/ds46087.pdf</v>
      </c>
      <c r="C492" t="str">
        <f>Hyperlink("https://www.diodes.com/part/view/MMBZ15VCLAQ","MMBZ15VCLAQ")</f>
        <v>MMBZ15VCLAQ</v>
      </c>
      <c r="D492" t="s">
        <v>729</v>
      </c>
      <c r="E492" t="s">
        <v>32</v>
      </c>
      <c r="F492" t="s">
        <v>33</v>
      </c>
      <c r="G492">
        <v>2</v>
      </c>
      <c r="H492" t="s">
        <v>56</v>
      </c>
      <c r="J492">
        <v>12</v>
      </c>
      <c r="K492">
        <v>14.25</v>
      </c>
      <c r="L492">
        <v>0.05</v>
      </c>
      <c r="M492">
        <v>1.9</v>
      </c>
      <c r="N492">
        <v>21</v>
      </c>
      <c r="P492" t="s">
        <v>43</v>
      </c>
    </row>
    <row r="493" spans="1:16">
      <c r="A493" t="s">
        <v>739</v>
      </c>
      <c r="B493" s="2" t="str">
        <f>Hyperlink("https://www.diodes.com/datasheet/download/ds45190.pdf")</f>
        <v>https://www.diodes.com/datasheet/download/ds45190.pdf</v>
      </c>
      <c r="C493" t="str">
        <f>Hyperlink("https://www.diodes.com/part/view/MMBZ18VALA","MMBZ18VALA")</f>
        <v>MMBZ18VALA</v>
      </c>
      <c r="D493" t="s">
        <v>735</v>
      </c>
      <c r="E493" t="s">
        <v>18</v>
      </c>
      <c r="F493" t="s">
        <v>33</v>
      </c>
      <c r="G493">
        <v>2</v>
      </c>
      <c r="H493" t="s">
        <v>56</v>
      </c>
      <c r="J493">
        <v>14.5</v>
      </c>
      <c r="K493">
        <v>17.1</v>
      </c>
      <c r="L493">
        <v>0.05</v>
      </c>
      <c r="N493">
        <v>25</v>
      </c>
      <c r="P493" t="s">
        <v>43</v>
      </c>
    </row>
    <row r="494" spans="1:16">
      <c r="A494" t="s">
        <v>740</v>
      </c>
      <c r="B494" s="2" t="str">
        <f>Hyperlink("https://www.diodes.com/datasheet/download/ds45282.pdf")</f>
        <v>https://www.diodes.com/datasheet/download/ds45282.pdf</v>
      </c>
      <c r="C494" t="str">
        <f>Hyperlink("https://www.diodes.com/part/view/MMBZ18VALAQ","MMBZ18VALAQ")</f>
        <v>MMBZ18VALAQ</v>
      </c>
      <c r="D494" t="s">
        <v>735</v>
      </c>
      <c r="E494" t="s">
        <v>32</v>
      </c>
      <c r="F494" t="s">
        <v>33</v>
      </c>
      <c r="G494">
        <v>2</v>
      </c>
      <c r="H494" t="s">
        <v>56</v>
      </c>
      <c r="J494">
        <v>14.5</v>
      </c>
      <c r="K494">
        <v>17.1</v>
      </c>
      <c r="L494">
        <v>0.05</v>
      </c>
      <c r="N494">
        <v>25</v>
      </c>
      <c r="P494" t="s">
        <v>43</v>
      </c>
    </row>
    <row r="495" spans="1:16">
      <c r="A495" t="s">
        <v>741</v>
      </c>
      <c r="B495" s="2" t="str">
        <f>Hyperlink("https://www.diodes.com/datasheet/download/ds45434.pdf")</f>
        <v>https://www.diodes.com/datasheet/download/ds45434.pdf</v>
      </c>
      <c r="C495" t="str">
        <f>Hyperlink("https://www.diodes.com/part/view/MMBZ18VCLA","MMBZ18VCLA")</f>
        <v>MMBZ18VCLA</v>
      </c>
      <c r="D495" t="s">
        <v>729</v>
      </c>
      <c r="E495" t="s">
        <v>18</v>
      </c>
      <c r="F495" t="s">
        <v>33</v>
      </c>
      <c r="G495">
        <v>2</v>
      </c>
      <c r="H495" t="s">
        <v>56</v>
      </c>
      <c r="J495">
        <v>14.5</v>
      </c>
      <c r="K495">
        <v>17.1</v>
      </c>
      <c r="L495">
        <v>0.05</v>
      </c>
      <c r="M495">
        <v>1.6</v>
      </c>
      <c r="N495">
        <v>25</v>
      </c>
      <c r="P495" t="s">
        <v>43</v>
      </c>
    </row>
    <row r="496" spans="1:16">
      <c r="A496" t="s">
        <v>742</v>
      </c>
      <c r="B496" s="2" t="str">
        <f>Hyperlink("https://www.diodes.com/datasheet/download/ds46087.pdf")</f>
        <v>https://www.diodes.com/datasheet/download/ds46087.pdf</v>
      </c>
      <c r="C496" t="str">
        <f>Hyperlink("https://www.diodes.com/part/view/MMBZ18VCLAQ","MMBZ18VCLAQ")</f>
        <v>MMBZ18VCLAQ</v>
      </c>
      <c r="D496" t="s">
        <v>729</v>
      </c>
      <c r="E496" t="s">
        <v>32</v>
      </c>
      <c r="F496" t="s">
        <v>33</v>
      </c>
      <c r="G496">
        <v>2</v>
      </c>
      <c r="H496" t="s">
        <v>56</v>
      </c>
      <c r="J496">
        <v>14.5</v>
      </c>
      <c r="K496">
        <v>17.1</v>
      </c>
      <c r="L496">
        <v>0.05</v>
      </c>
      <c r="M496">
        <v>1.6</v>
      </c>
      <c r="N496">
        <v>25</v>
      </c>
      <c r="P496" t="s">
        <v>43</v>
      </c>
    </row>
    <row r="497" spans="1:16">
      <c r="A497" t="s">
        <v>743</v>
      </c>
      <c r="B497" s="2" t="str">
        <f>Hyperlink("https://www.diodes.com/datasheet/download/ds45190.pdf")</f>
        <v>https://www.diodes.com/datasheet/download/ds45190.pdf</v>
      </c>
      <c r="C497" t="str">
        <f>Hyperlink("https://www.diodes.com/part/view/MMBZ20VALA","MMBZ20VALA")</f>
        <v>MMBZ20VALA</v>
      </c>
      <c r="D497" t="s">
        <v>735</v>
      </c>
      <c r="E497" t="s">
        <v>18</v>
      </c>
      <c r="F497" t="s">
        <v>33</v>
      </c>
      <c r="G497">
        <v>2</v>
      </c>
      <c r="H497" t="s">
        <v>56</v>
      </c>
      <c r="J497">
        <v>17</v>
      </c>
      <c r="K497">
        <v>19</v>
      </c>
      <c r="L497">
        <v>0.05</v>
      </c>
      <c r="N497">
        <v>28</v>
      </c>
      <c r="P497" t="s">
        <v>43</v>
      </c>
    </row>
    <row r="498" spans="1:16">
      <c r="A498" t="s">
        <v>744</v>
      </c>
      <c r="B498" s="2" t="str">
        <f>Hyperlink("https://www.diodes.com/datasheet/download/ds45282.pdf")</f>
        <v>https://www.diodes.com/datasheet/download/ds45282.pdf</v>
      </c>
      <c r="C498" t="str">
        <f>Hyperlink("https://www.diodes.com/part/view/MMBZ20VALAQ","MMBZ20VALAQ")</f>
        <v>MMBZ20VALAQ</v>
      </c>
      <c r="D498" t="s">
        <v>735</v>
      </c>
      <c r="E498" t="s">
        <v>32</v>
      </c>
      <c r="F498" t="s">
        <v>33</v>
      </c>
      <c r="G498">
        <v>2</v>
      </c>
      <c r="H498" t="s">
        <v>56</v>
      </c>
      <c r="J498">
        <v>17</v>
      </c>
      <c r="K498">
        <v>19</v>
      </c>
      <c r="L498">
        <v>0.05</v>
      </c>
      <c r="N498">
        <v>28</v>
      </c>
      <c r="P498" t="s">
        <v>43</v>
      </c>
    </row>
    <row r="499" spans="1:16">
      <c r="A499" t="s">
        <v>745</v>
      </c>
      <c r="B499" s="2" t="str">
        <f>Hyperlink("https://www.diodes.com/datasheet/download/ds45434.pdf")</f>
        <v>https://www.diodes.com/datasheet/download/ds45434.pdf</v>
      </c>
      <c r="C499" t="str">
        <f>Hyperlink("https://www.diodes.com/part/view/MMBZ20VCLA","MMBZ20VCLA")</f>
        <v>MMBZ20VCLA</v>
      </c>
      <c r="D499" t="s">
        <v>729</v>
      </c>
      <c r="E499" t="s">
        <v>18</v>
      </c>
      <c r="F499" t="s">
        <v>33</v>
      </c>
      <c r="G499">
        <v>2</v>
      </c>
      <c r="H499" t="s">
        <v>56</v>
      </c>
      <c r="J499">
        <v>17</v>
      </c>
      <c r="K499">
        <v>19</v>
      </c>
      <c r="L499">
        <v>0.05</v>
      </c>
      <c r="M499">
        <v>1.4</v>
      </c>
      <c r="N499">
        <v>28</v>
      </c>
      <c r="P499" t="s">
        <v>43</v>
      </c>
    </row>
    <row r="500" spans="1:16">
      <c r="A500" t="s">
        <v>746</v>
      </c>
      <c r="B500" s="2" t="str">
        <f>Hyperlink("https://www.diodes.com/datasheet/download/ds46087.pdf")</f>
        <v>https://www.diodes.com/datasheet/download/ds46087.pdf</v>
      </c>
      <c r="C500" t="str">
        <f>Hyperlink("https://www.diodes.com/part/view/MMBZ20VCLAQ","MMBZ20VCLAQ")</f>
        <v>MMBZ20VCLAQ</v>
      </c>
      <c r="D500" t="s">
        <v>729</v>
      </c>
      <c r="E500" t="s">
        <v>32</v>
      </c>
      <c r="F500" t="s">
        <v>33</v>
      </c>
      <c r="G500">
        <v>2</v>
      </c>
      <c r="H500" t="s">
        <v>56</v>
      </c>
      <c r="J500">
        <v>17</v>
      </c>
      <c r="K500">
        <v>19</v>
      </c>
      <c r="L500">
        <v>0.05</v>
      </c>
      <c r="M500">
        <v>1.4</v>
      </c>
      <c r="N500">
        <v>28</v>
      </c>
      <c r="P500" t="s">
        <v>43</v>
      </c>
    </row>
    <row r="501" spans="1:16">
      <c r="A501" t="s">
        <v>747</v>
      </c>
      <c r="B501" s="2" t="str">
        <f>Hyperlink("https://www.diodes.com/datasheet/download/ds45190.pdf")</f>
        <v>https://www.diodes.com/datasheet/download/ds45190.pdf</v>
      </c>
      <c r="C501" t="str">
        <f>Hyperlink("https://www.diodes.com/part/view/MMBZ27VALA","MMBZ27VALA")</f>
        <v>MMBZ27VALA</v>
      </c>
      <c r="D501" t="s">
        <v>735</v>
      </c>
      <c r="E501" t="s">
        <v>18</v>
      </c>
      <c r="F501" t="s">
        <v>33</v>
      </c>
      <c r="G501">
        <v>2</v>
      </c>
      <c r="H501" t="s">
        <v>56</v>
      </c>
      <c r="J501">
        <v>22</v>
      </c>
      <c r="K501">
        <v>25.65</v>
      </c>
      <c r="L501">
        <v>0.05</v>
      </c>
      <c r="N501">
        <v>40</v>
      </c>
      <c r="P501" t="s">
        <v>43</v>
      </c>
    </row>
    <row r="502" spans="1:16">
      <c r="A502" t="s">
        <v>748</v>
      </c>
      <c r="B502" s="2" t="str">
        <f>Hyperlink("https://www.diodes.com/datasheet/download/ds45282.pdf")</f>
        <v>https://www.diodes.com/datasheet/download/ds45282.pdf</v>
      </c>
      <c r="C502" t="str">
        <f>Hyperlink("https://www.diodes.com/part/view/MMBZ27VALAQ","MMBZ27VALAQ")</f>
        <v>MMBZ27VALAQ</v>
      </c>
      <c r="D502" t="s">
        <v>735</v>
      </c>
      <c r="E502" t="s">
        <v>32</v>
      </c>
      <c r="F502" t="s">
        <v>33</v>
      </c>
      <c r="G502">
        <v>2</v>
      </c>
      <c r="H502" t="s">
        <v>56</v>
      </c>
      <c r="J502">
        <v>22</v>
      </c>
      <c r="K502">
        <v>25.65</v>
      </c>
      <c r="L502">
        <v>0.05</v>
      </c>
      <c r="N502">
        <v>40</v>
      </c>
      <c r="P502" t="s">
        <v>43</v>
      </c>
    </row>
    <row r="503" spans="1:16">
      <c r="A503" t="s">
        <v>749</v>
      </c>
      <c r="B503" s="2" t="str">
        <f>Hyperlink("https://www.diodes.com/datasheet/download/ds45434.pdf")</f>
        <v>https://www.diodes.com/datasheet/download/ds45434.pdf</v>
      </c>
      <c r="C503" t="str">
        <f>Hyperlink("https://www.diodes.com/part/view/MMBZ27VCLA","MMBZ27VCLA")</f>
        <v>MMBZ27VCLA</v>
      </c>
      <c r="D503" t="s">
        <v>729</v>
      </c>
      <c r="E503" t="s">
        <v>18</v>
      </c>
      <c r="F503" t="s">
        <v>33</v>
      </c>
      <c r="G503">
        <v>2</v>
      </c>
      <c r="H503" t="s">
        <v>56</v>
      </c>
      <c r="J503">
        <v>22</v>
      </c>
      <c r="K503">
        <v>25.65</v>
      </c>
      <c r="L503">
        <v>0.05</v>
      </c>
      <c r="M503">
        <v>1</v>
      </c>
      <c r="N503">
        <v>40</v>
      </c>
      <c r="P503" t="s">
        <v>43</v>
      </c>
    </row>
    <row r="504" spans="1:16">
      <c r="A504" t="s">
        <v>750</v>
      </c>
      <c r="B504" s="2" t="str">
        <f>Hyperlink("https://www.diodes.com/datasheet/download/ds46087.pdf")</f>
        <v>https://www.diodes.com/datasheet/download/ds46087.pdf</v>
      </c>
      <c r="C504" t="str">
        <f>Hyperlink("https://www.diodes.com/part/view/MMBZ27VCLAQ","MMBZ27VCLAQ")</f>
        <v>MMBZ27VCLAQ</v>
      </c>
      <c r="D504" t="s">
        <v>729</v>
      </c>
      <c r="E504" t="s">
        <v>32</v>
      </c>
      <c r="F504" t="s">
        <v>33</v>
      </c>
      <c r="G504">
        <v>2</v>
      </c>
      <c r="H504" t="s">
        <v>56</v>
      </c>
      <c r="J504">
        <v>22</v>
      </c>
      <c r="K504">
        <v>25.65</v>
      </c>
      <c r="L504">
        <v>0.05</v>
      </c>
      <c r="M504">
        <v>1</v>
      </c>
      <c r="N504">
        <v>40</v>
      </c>
      <c r="P504" t="s">
        <v>43</v>
      </c>
    </row>
    <row r="505" spans="1:16">
      <c r="A505" t="s">
        <v>751</v>
      </c>
      <c r="B505" s="2" t="str">
        <f>Hyperlink("https://www.diodes.com/datasheet/download/ds45190.pdf")</f>
        <v>https://www.diodes.com/datasheet/download/ds45190.pdf</v>
      </c>
      <c r="C505" t="str">
        <f>Hyperlink("https://www.diodes.com/part/view/MMBZ33VALA","MMBZ33VALA")</f>
        <v>MMBZ33VALA</v>
      </c>
      <c r="D505" t="s">
        <v>735</v>
      </c>
      <c r="E505" t="s">
        <v>18</v>
      </c>
      <c r="F505" t="s">
        <v>33</v>
      </c>
      <c r="G505">
        <v>2</v>
      </c>
      <c r="H505" t="s">
        <v>56</v>
      </c>
      <c r="J505">
        <v>26</v>
      </c>
      <c r="K505">
        <v>31.35</v>
      </c>
      <c r="L505">
        <v>0.05</v>
      </c>
      <c r="N505">
        <v>46</v>
      </c>
      <c r="P505" t="s">
        <v>43</v>
      </c>
    </row>
    <row r="506" spans="1:16">
      <c r="A506" t="s">
        <v>752</v>
      </c>
      <c r="B506" s="2" t="str">
        <f>Hyperlink("https://www.diodes.com/datasheet/download/ds45282.pdf")</f>
        <v>https://www.diodes.com/datasheet/download/ds45282.pdf</v>
      </c>
      <c r="C506" t="str">
        <f>Hyperlink("https://www.diodes.com/part/view/MMBZ33VALAQ","MMBZ33VALAQ")</f>
        <v>MMBZ33VALAQ</v>
      </c>
      <c r="D506" t="s">
        <v>735</v>
      </c>
      <c r="E506" t="s">
        <v>32</v>
      </c>
      <c r="F506" t="s">
        <v>33</v>
      </c>
      <c r="G506">
        <v>2</v>
      </c>
      <c r="H506" t="s">
        <v>56</v>
      </c>
      <c r="J506">
        <v>26</v>
      </c>
      <c r="K506">
        <v>31.35</v>
      </c>
      <c r="L506">
        <v>0.05</v>
      </c>
      <c r="N506">
        <v>46</v>
      </c>
      <c r="P506" t="s">
        <v>43</v>
      </c>
    </row>
    <row r="507" spans="1:16">
      <c r="A507" t="s">
        <v>753</v>
      </c>
      <c r="B507" s="2" t="str">
        <f>Hyperlink("https://www.diodes.com/datasheet/download/ds45434.pdf")</f>
        <v>https://www.diodes.com/datasheet/download/ds45434.pdf</v>
      </c>
      <c r="C507" t="str">
        <f>Hyperlink("https://www.diodes.com/part/view/MMBZ33VCLA","MMBZ33VCLA")</f>
        <v>MMBZ33VCLA</v>
      </c>
      <c r="D507" t="s">
        <v>729</v>
      </c>
      <c r="E507" t="s">
        <v>18</v>
      </c>
      <c r="F507" t="s">
        <v>33</v>
      </c>
      <c r="G507">
        <v>2</v>
      </c>
      <c r="H507" t="s">
        <v>56</v>
      </c>
      <c r="J507">
        <v>26</v>
      </c>
      <c r="K507">
        <v>31.35</v>
      </c>
      <c r="L507">
        <v>0.05</v>
      </c>
      <c r="M507">
        <v>0.87</v>
      </c>
      <c r="N507">
        <v>46</v>
      </c>
      <c r="P507" t="s">
        <v>43</v>
      </c>
    </row>
    <row r="508" spans="1:16">
      <c r="A508" t="s">
        <v>754</v>
      </c>
      <c r="B508" s="2" t="str">
        <f>Hyperlink("https://www.diodes.com/datasheet/download/ds46087.pdf")</f>
        <v>https://www.diodes.com/datasheet/download/ds46087.pdf</v>
      </c>
      <c r="C508" t="str">
        <f>Hyperlink("https://www.diodes.com/part/view/MMBZ33VCLAQ","MMBZ33VCLAQ")</f>
        <v>MMBZ33VCLAQ</v>
      </c>
      <c r="D508" t="s">
        <v>729</v>
      </c>
      <c r="E508" t="s">
        <v>32</v>
      </c>
      <c r="F508" t="s">
        <v>33</v>
      </c>
      <c r="G508">
        <v>2</v>
      </c>
      <c r="H508" t="s">
        <v>56</v>
      </c>
      <c r="J508">
        <v>26</v>
      </c>
      <c r="K508">
        <v>31.35</v>
      </c>
      <c r="L508">
        <v>0.05</v>
      </c>
      <c r="M508">
        <v>0.87</v>
      </c>
      <c r="N508">
        <v>46</v>
      </c>
      <c r="P508" t="s">
        <v>43</v>
      </c>
    </row>
    <row r="509" spans="1:16">
      <c r="A509" t="s">
        <v>755</v>
      </c>
      <c r="B509" s="2" t="str">
        <f>Hyperlink("https://www.diodes.com/datasheet/download/ds45190.pdf")</f>
        <v>https://www.diodes.com/datasheet/download/ds45190.pdf</v>
      </c>
      <c r="C509" t="str">
        <f>Hyperlink("https://www.diodes.com/part/view/MMBZ5V6ALA","MMBZ5V6ALA")</f>
        <v>MMBZ5V6ALA</v>
      </c>
      <c r="D509" t="s">
        <v>735</v>
      </c>
      <c r="E509" t="s">
        <v>18</v>
      </c>
      <c r="F509" t="s">
        <v>33</v>
      </c>
      <c r="G509">
        <v>2</v>
      </c>
      <c r="H509" t="s">
        <v>56</v>
      </c>
      <c r="J509">
        <v>3</v>
      </c>
      <c r="K509">
        <v>5.32</v>
      </c>
      <c r="L509">
        <v>5</v>
      </c>
      <c r="N509">
        <v>8</v>
      </c>
      <c r="P509" t="s">
        <v>43</v>
      </c>
    </row>
    <row r="510" spans="1:16">
      <c r="A510" t="s">
        <v>756</v>
      </c>
      <c r="B510" s="2" t="str">
        <f>Hyperlink("https://www.diodes.com/datasheet/download/ds45282.pdf")</f>
        <v>https://www.diodes.com/datasheet/download/ds45282.pdf</v>
      </c>
      <c r="C510" t="str">
        <f>Hyperlink("https://www.diodes.com/part/view/MMBZ5V6ALAQ","MMBZ5V6ALAQ")</f>
        <v>MMBZ5V6ALAQ</v>
      </c>
      <c r="D510" t="s">
        <v>735</v>
      </c>
      <c r="E510" t="s">
        <v>32</v>
      </c>
      <c r="F510" t="s">
        <v>33</v>
      </c>
      <c r="G510">
        <v>2</v>
      </c>
      <c r="H510" t="s">
        <v>56</v>
      </c>
      <c r="J510">
        <v>3</v>
      </c>
      <c r="K510">
        <v>5.32</v>
      </c>
      <c r="L510">
        <v>5</v>
      </c>
      <c r="N510">
        <v>8</v>
      </c>
      <c r="P510" t="s">
        <v>43</v>
      </c>
    </row>
    <row r="511" spans="1:16">
      <c r="A511" t="s">
        <v>757</v>
      </c>
      <c r="B511" s="2" t="str">
        <f>Hyperlink("https://www.diodes.com/datasheet/download/ds45434.pdf")</f>
        <v>https://www.diodes.com/datasheet/download/ds45434.pdf</v>
      </c>
      <c r="C511" t="str">
        <f>Hyperlink("https://www.diodes.com/part/view/MMBZ5V6CLA","MMBZ5V6CLA")</f>
        <v>MMBZ5V6CLA</v>
      </c>
      <c r="D511" t="s">
        <v>729</v>
      </c>
      <c r="E511" t="s">
        <v>18</v>
      </c>
      <c r="F511" t="s">
        <v>33</v>
      </c>
      <c r="G511">
        <v>2</v>
      </c>
      <c r="H511" t="s">
        <v>56</v>
      </c>
      <c r="J511">
        <v>3</v>
      </c>
      <c r="K511">
        <v>5.32</v>
      </c>
      <c r="L511">
        <v>5</v>
      </c>
      <c r="M511">
        <v>3</v>
      </c>
      <c r="N511">
        <v>8</v>
      </c>
      <c r="P511" t="s">
        <v>43</v>
      </c>
    </row>
    <row r="512" spans="1:16">
      <c r="A512" t="s">
        <v>758</v>
      </c>
      <c r="B512" s="2" t="str">
        <f>Hyperlink("https://www.diodes.com/datasheet/download/ds46087.pdf")</f>
        <v>https://www.diodes.com/datasheet/download/ds46087.pdf</v>
      </c>
      <c r="C512" t="str">
        <f>Hyperlink("https://www.diodes.com/part/view/MMBZ5V6CLAQ","MMBZ5V6CLAQ")</f>
        <v>MMBZ5V6CLAQ</v>
      </c>
      <c r="D512" t="s">
        <v>729</v>
      </c>
      <c r="E512" t="s">
        <v>32</v>
      </c>
      <c r="F512" t="s">
        <v>33</v>
      </c>
      <c r="G512">
        <v>2</v>
      </c>
      <c r="H512" t="s">
        <v>56</v>
      </c>
      <c r="J512">
        <v>3</v>
      </c>
      <c r="K512">
        <v>5.32</v>
      </c>
      <c r="L512">
        <v>5</v>
      </c>
      <c r="M512">
        <v>3</v>
      </c>
      <c r="N512">
        <v>8</v>
      </c>
      <c r="P512" t="s">
        <v>43</v>
      </c>
    </row>
    <row r="513" spans="1:16">
      <c r="A513" t="s">
        <v>759</v>
      </c>
      <c r="B513" s="2" t="str">
        <f>Hyperlink("https://www.diodes.com/datasheet/download/ds45190.pdf")</f>
        <v>https://www.diodes.com/datasheet/download/ds45190.pdf</v>
      </c>
      <c r="C513" t="str">
        <f>Hyperlink("https://www.diodes.com/part/view/MMBZ6V2ALA","MMBZ6V2ALA")</f>
        <v>MMBZ6V2ALA</v>
      </c>
      <c r="D513" t="s">
        <v>735</v>
      </c>
      <c r="E513" t="s">
        <v>18</v>
      </c>
      <c r="F513" t="s">
        <v>33</v>
      </c>
      <c r="G513">
        <v>2</v>
      </c>
      <c r="H513" t="s">
        <v>56</v>
      </c>
      <c r="J513">
        <v>3</v>
      </c>
      <c r="K513">
        <v>5.89</v>
      </c>
      <c r="L513">
        <v>1</v>
      </c>
      <c r="N513">
        <v>8.7</v>
      </c>
      <c r="P513" t="s">
        <v>43</v>
      </c>
    </row>
    <row r="514" spans="1:16">
      <c r="A514" t="s">
        <v>760</v>
      </c>
      <c r="B514" s="2" t="str">
        <f>Hyperlink("https://www.diodes.com/datasheet/download/ds45282.pdf")</f>
        <v>https://www.diodes.com/datasheet/download/ds45282.pdf</v>
      </c>
      <c r="C514" t="str">
        <f>Hyperlink("https://www.diodes.com/part/view/MMBZ6V2ALAQ","MMBZ6V2ALAQ")</f>
        <v>MMBZ6V2ALAQ</v>
      </c>
      <c r="D514" t="s">
        <v>729</v>
      </c>
      <c r="E514" t="s">
        <v>32</v>
      </c>
      <c r="F514" t="s">
        <v>33</v>
      </c>
      <c r="G514">
        <v>2</v>
      </c>
      <c r="H514" t="s">
        <v>56</v>
      </c>
      <c r="J514">
        <v>3</v>
      </c>
      <c r="K514">
        <v>5.89</v>
      </c>
      <c r="L514">
        <v>0.5</v>
      </c>
      <c r="M514">
        <v>2.8</v>
      </c>
      <c r="N514">
        <v>8.7</v>
      </c>
      <c r="P514" t="s">
        <v>43</v>
      </c>
    </row>
    <row r="515" spans="1:16">
      <c r="A515" t="s">
        <v>761</v>
      </c>
      <c r="B515" s="2" t="str">
        <f>Hyperlink("https://www.diodes.com/datasheet/download/ds45434.pdf")</f>
        <v>https://www.diodes.com/datasheet/download/ds45434.pdf</v>
      </c>
      <c r="C515" t="str">
        <f>Hyperlink("https://www.diodes.com/part/view/MMBZ6V2CLA","MMBZ6V2CLA")</f>
        <v>MMBZ6V2CLA</v>
      </c>
      <c r="D515" t="s">
        <v>729</v>
      </c>
      <c r="E515" t="s">
        <v>18</v>
      </c>
      <c r="F515" t="s">
        <v>33</v>
      </c>
      <c r="G515">
        <v>2</v>
      </c>
      <c r="H515" t="s">
        <v>56</v>
      </c>
      <c r="J515">
        <v>3</v>
      </c>
      <c r="K515">
        <v>5.89</v>
      </c>
      <c r="L515">
        <v>0.5</v>
      </c>
      <c r="M515">
        <v>2.8</v>
      </c>
      <c r="N515">
        <v>8.7</v>
      </c>
      <c r="P515" t="s">
        <v>43</v>
      </c>
    </row>
    <row r="516" spans="1:16">
      <c r="A516" t="s">
        <v>762</v>
      </c>
      <c r="B516" s="2" t="str">
        <f>Hyperlink("https://www.diodes.com/datasheet/download/ds46087.pdf")</f>
        <v>https://www.diodes.com/datasheet/download/ds46087.pdf</v>
      </c>
      <c r="C516" t="str">
        <f>Hyperlink("https://www.diodes.com/part/view/MMBZ6V2CLAQ","MMBZ6V2CLAQ")</f>
        <v>MMBZ6V2CLAQ</v>
      </c>
      <c r="D516" t="s">
        <v>729</v>
      </c>
      <c r="E516" t="s">
        <v>32</v>
      </c>
      <c r="F516" t="s">
        <v>33</v>
      </c>
      <c r="G516">
        <v>2</v>
      </c>
      <c r="H516" t="s">
        <v>56</v>
      </c>
      <c r="J516">
        <v>3</v>
      </c>
      <c r="K516">
        <v>5.89</v>
      </c>
      <c r="L516">
        <v>0.5</v>
      </c>
      <c r="M516">
        <v>2.76</v>
      </c>
      <c r="N516">
        <v>8.7</v>
      </c>
      <c r="P516" t="s">
        <v>43</v>
      </c>
    </row>
    <row r="517" spans="1:16">
      <c r="A517" t="s">
        <v>763</v>
      </c>
      <c r="B517" s="2" t="str">
        <f>Hyperlink("https://www.diodes.com/datasheet/download/ds45190.pdf")</f>
        <v>https://www.diodes.com/datasheet/download/ds45190.pdf</v>
      </c>
      <c r="C517" t="str">
        <f>Hyperlink("https://www.diodes.com/part/view/MMBZ6V8ALA","MMBZ6V8ALA")</f>
        <v>MMBZ6V8ALA</v>
      </c>
      <c r="D517" t="s">
        <v>735</v>
      </c>
      <c r="E517" t="s">
        <v>18</v>
      </c>
      <c r="F517" t="s">
        <v>33</v>
      </c>
      <c r="G517">
        <v>2</v>
      </c>
      <c r="H517" t="s">
        <v>56</v>
      </c>
      <c r="J517">
        <v>4.5</v>
      </c>
      <c r="K517">
        <v>6.46</v>
      </c>
      <c r="L517">
        <v>0.5</v>
      </c>
      <c r="N517">
        <v>9.6</v>
      </c>
      <c r="P517" t="s">
        <v>43</v>
      </c>
    </row>
    <row r="518" spans="1:16">
      <c r="A518" t="s">
        <v>764</v>
      </c>
      <c r="B518" s="2" t="str">
        <f>Hyperlink("https://www.diodes.com/datasheet/download/ds45282.pdf")</f>
        <v>https://www.diodes.com/datasheet/download/ds45282.pdf</v>
      </c>
      <c r="C518" t="str">
        <f>Hyperlink("https://www.diodes.com/part/view/MMBZ6V8ALAQ","MMBZ6V8ALAQ")</f>
        <v>MMBZ6V8ALAQ</v>
      </c>
      <c r="D518" t="s">
        <v>735</v>
      </c>
      <c r="E518" t="s">
        <v>32</v>
      </c>
      <c r="F518" t="s">
        <v>33</v>
      </c>
      <c r="G518">
        <v>2</v>
      </c>
      <c r="H518" t="s">
        <v>56</v>
      </c>
      <c r="J518">
        <v>4.5</v>
      </c>
      <c r="L518">
        <v>0.5</v>
      </c>
      <c r="N518">
        <v>9.6</v>
      </c>
      <c r="P518" t="s">
        <v>43</v>
      </c>
    </row>
    <row r="519" spans="1:16">
      <c r="A519" t="s">
        <v>765</v>
      </c>
      <c r="B519" s="2" t="str">
        <f>Hyperlink("https://www.diodes.com/datasheet/download/ds45434.pdf")</f>
        <v>https://www.diodes.com/datasheet/download/ds45434.pdf</v>
      </c>
      <c r="C519" t="str">
        <f>Hyperlink("https://www.diodes.com/part/view/MMBZ6V8CLA","MMBZ6V8CLA")</f>
        <v>MMBZ6V8CLA</v>
      </c>
      <c r="D519" t="s">
        <v>729</v>
      </c>
      <c r="E519" t="s">
        <v>18</v>
      </c>
      <c r="F519" t="s">
        <v>33</v>
      </c>
      <c r="G519">
        <v>2</v>
      </c>
      <c r="H519" t="s">
        <v>56</v>
      </c>
      <c r="J519">
        <v>4.5</v>
      </c>
      <c r="K519">
        <v>6.46</v>
      </c>
      <c r="L519">
        <v>0.5</v>
      </c>
      <c r="M519">
        <v>2.5</v>
      </c>
      <c r="N519">
        <v>9.6</v>
      </c>
      <c r="P519" t="s">
        <v>43</v>
      </c>
    </row>
    <row r="520" spans="1:16">
      <c r="A520" t="s">
        <v>766</v>
      </c>
      <c r="B520" s="2" t="str">
        <f>Hyperlink("https://www.diodes.com/datasheet/download/ds46087.pdf")</f>
        <v>https://www.diodes.com/datasheet/download/ds46087.pdf</v>
      </c>
      <c r="C520" t="str">
        <f>Hyperlink("https://www.diodes.com/part/view/MMBZ6V8CLAQ","MMBZ6V8CLAQ")</f>
        <v>MMBZ6V8CLAQ</v>
      </c>
      <c r="D520" t="s">
        <v>729</v>
      </c>
      <c r="E520" t="s">
        <v>32</v>
      </c>
      <c r="F520" t="s">
        <v>33</v>
      </c>
      <c r="G520">
        <v>2</v>
      </c>
      <c r="H520" t="s">
        <v>56</v>
      </c>
      <c r="J520">
        <v>4.5</v>
      </c>
      <c r="K520">
        <v>6.46</v>
      </c>
      <c r="L520">
        <v>0.5</v>
      </c>
      <c r="M520">
        <v>2.5</v>
      </c>
      <c r="N520">
        <v>9.6</v>
      </c>
      <c r="P520" t="s">
        <v>43</v>
      </c>
    </row>
    <row r="521" spans="1:16">
      <c r="A521" t="s">
        <v>767</v>
      </c>
      <c r="B521" s="2" t="str">
        <f>Hyperlink("https://www.diodes.com/datasheet/download/ds45190.pdf")</f>
        <v>https://www.diodes.com/datasheet/download/ds45190.pdf</v>
      </c>
      <c r="C521" t="str">
        <f>Hyperlink("https://www.diodes.com/part/view/MMBZ9V1ALA","MMBZ9V1ALA")</f>
        <v>MMBZ9V1ALA</v>
      </c>
      <c r="D521" t="s">
        <v>729</v>
      </c>
      <c r="E521" t="s">
        <v>18</v>
      </c>
      <c r="F521" t="s">
        <v>33</v>
      </c>
      <c r="G521">
        <v>2</v>
      </c>
      <c r="H521" t="s">
        <v>56</v>
      </c>
      <c r="J521">
        <v>6</v>
      </c>
      <c r="K521">
        <v>8.65</v>
      </c>
      <c r="L521">
        <v>0.3</v>
      </c>
      <c r="M521">
        <v>1.7</v>
      </c>
      <c r="N521">
        <v>14</v>
      </c>
      <c r="P521" t="s">
        <v>43</v>
      </c>
    </row>
    <row r="522" spans="1:16">
      <c r="A522" t="s">
        <v>768</v>
      </c>
      <c r="B522" s="2" t="str">
        <f>Hyperlink("https://www.diodes.com/datasheet/download/ds45282.pdf")</f>
        <v>https://www.diodes.com/datasheet/download/ds45282.pdf</v>
      </c>
      <c r="C522" t="str">
        <f>Hyperlink("https://www.diodes.com/part/view/MMBZ9V1ALAQ","MMBZ9V1ALAQ")</f>
        <v>MMBZ9V1ALAQ</v>
      </c>
      <c r="D522" t="s">
        <v>729</v>
      </c>
      <c r="E522" t="s">
        <v>32</v>
      </c>
      <c r="F522" t="s">
        <v>33</v>
      </c>
      <c r="G522">
        <v>2</v>
      </c>
      <c r="H522" t="s">
        <v>56</v>
      </c>
      <c r="J522">
        <v>6</v>
      </c>
      <c r="K522">
        <v>8.65</v>
      </c>
      <c r="L522">
        <v>0.3</v>
      </c>
      <c r="M522">
        <v>1.7</v>
      </c>
      <c r="N522">
        <v>14</v>
      </c>
      <c r="P522" t="s">
        <v>43</v>
      </c>
    </row>
    <row r="523" spans="1:16">
      <c r="A523" t="s">
        <v>769</v>
      </c>
      <c r="B523" s="2" t="str">
        <f>Hyperlink("https://www.diodes.com/datasheet/download/ds45434.pdf")</f>
        <v>https://www.diodes.com/datasheet/download/ds45434.pdf</v>
      </c>
      <c r="C523" t="str">
        <f>Hyperlink("https://www.diodes.com/part/view/MMBZ9V1CLA","MMBZ9V1CLA")</f>
        <v>MMBZ9V1CLA</v>
      </c>
      <c r="D523" t="s">
        <v>729</v>
      </c>
      <c r="E523" t="s">
        <v>18</v>
      </c>
      <c r="F523" t="s">
        <v>33</v>
      </c>
      <c r="G523">
        <v>2</v>
      </c>
      <c r="H523" t="s">
        <v>56</v>
      </c>
      <c r="J523">
        <v>6</v>
      </c>
      <c r="K523">
        <v>8.65</v>
      </c>
      <c r="L523">
        <v>0.3</v>
      </c>
      <c r="M523">
        <v>1.7</v>
      </c>
      <c r="N523">
        <v>14</v>
      </c>
      <c r="O523" t="s">
        <v>732</v>
      </c>
      <c r="P523" t="s">
        <v>43</v>
      </c>
    </row>
    <row r="524" spans="1:16">
      <c r="A524" t="s">
        <v>770</v>
      </c>
      <c r="B524" s="2" t="str">
        <f>Hyperlink("https://www.diodes.com/datasheet/download/ds46087.pdf")</f>
        <v>https://www.diodes.com/datasheet/download/ds46087.pdf</v>
      </c>
      <c r="C524" t="str">
        <f>Hyperlink("https://www.diodes.com/part/view/MMBZ9V1CLAQ","MMBZ9V1CLAQ")</f>
        <v>MMBZ9V1CLAQ</v>
      </c>
      <c r="D524" t="s">
        <v>729</v>
      </c>
      <c r="E524" t="s">
        <v>32</v>
      </c>
      <c r="F524" t="s">
        <v>33</v>
      </c>
      <c r="G524">
        <v>2</v>
      </c>
      <c r="H524" t="s">
        <v>56</v>
      </c>
      <c r="J524">
        <v>6</v>
      </c>
      <c r="K524">
        <v>8.65</v>
      </c>
      <c r="L524">
        <v>0.3</v>
      </c>
      <c r="M524">
        <v>1.7</v>
      </c>
      <c r="N524">
        <v>14</v>
      </c>
      <c r="O524" t="s">
        <v>732</v>
      </c>
      <c r="P524" t="s">
        <v>43</v>
      </c>
    </row>
    <row r="525" spans="1:16">
      <c r="A525" t="s">
        <v>771</v>
      </c>
      <c r="B525" s="2" t="str">
        <f>Hyperlink("https://www.diodes.com/datasheet/download/SD03.pdf")</f>
        <v>https://www.diodes.com/datasheet/download/SD03.pdf</v>
      </c>
      <c r="C525" t="str">
        <f>Hyperlink("https://www.diodes.com/part/view/SD03","SD03")</f>
        <v>SD03</v>
      </c>
      <c r="D525" t="s">
        <v>772</v>
      </c>
      <c r="E525" t="s">
        <v>18</v>
      </c>
      <c r="F525" t="s">
        <v>19</v>
      </c>
      <c r="G525">
        <v>1</v>
      </c>
      <c r="H525" t="s">
        <v>20</v>
      </c>
      <c r="I525">
        <v>400</v>
      </c>
      <c r="J525">
        <v>3.3</v>
      </c>
      <c r="K525">
        <v>4</v>
      </c>
      <c r="L525">
        <v>1</v>
      </c>
      <c r="N525">
        <v>9.6</v>
      </c>
      <c r="O525" t="s">
        <v>21</v>
      </c>
      <c r="P525" t="s">
        <v>51</v>
      </c>
    </row>
    <row r="526" spans="1:16">
      <c r="A526" t="s">
        <v>773</v>
      </c>
      <c r="B526" s="2" t="str">
        <f>Hyperlink("https://www.diodes.com/datasheet/download/SD03C.pdf")</f>
        <v>https://www.diodes.com/datasheet/download/SD03C.pdf</v>
      </c>
      <c r="C526" t="str">
        <f>Hyperlink("https://www.diodes.com/part/view/SD03C","SD03C")</f>
        <v>SD03C</v>
      </c>
      <c r="D526" t="s">
        <v>774</v>
      </c>
      <c r="E526" t="s">
        <v>18</v>
      </c>
      <c r="F526" t="s">
        <v>19</v>
      </c>
      <c r="G526">
        <v>1</v>
      </c>
      <c r="H526" t="s">
        <v>28</v>
      </c>
      <c r="I526">
        <v>150</v>
      </c>
      <c r="J526">
        <v>3.3</v>
      </c>
      <c r="K526">
        <v>4</v>
      </c>
      <c r="L526">
        <v>10</v>
      </c>
      <c r="N526">
        <v>11</v>
      </c>
      <c r="O526">
        <v>30</v>
      </c>
      <c r="P526" t="s">
        <v>51</v>
      </c>
    </row>
    <row r="527" spans="1:16">
      <c r="A527" t="s">
        <v>775</v>
      </c>
      <c r="B527" s="2" t="str">
        <f>Hyperlink("https://www.diodes.com/datasheet/download/SD03CQ.pdf")</f>
        <v>https://www.diodes.com/datasheet/download/SD03CQ.pdf</v>
      </c>
      <c r="C527" t="str">
        <f>Hyperlink("https://www.diodes.com/part/view/SD03CQ","SD03CQ")</f>
        <v>SD03CQ</v>
      </c>
      <c r="D527" t="s">
        <v>774</v>
      </c>
      <c r="E527" t="s">
        <v>32</v>
      </c>
      <c r="F527" t="s">
        <v>33</v>
      </c>
      <c r="G527">
        <v>1</v>
      </c>
      <c r="H527" t="s">
        <v>28</v>
      </c>
      <c r="I527">
        <v>150</v>
      </c>
      <c r="J527">
        <v>3.3</v>
      </c>
      <c r="K527">
        <v>4</v>
      </c>
      <c r="L527">
        <v>1</v>
      </c>
      <c r="N527">
        <v>11</v>
      </c>
      <c r="O527" t="s">
        <v>21</v>
      </c>
      <c r="P527" t="s">
        <v>51</v>
      </c>
    </row>
    <row r="528" spans="1:16">
      <c r="A528" t="s">
        <v>776</v>
      </c>
      <c r="B528" s="2" t="str">
        <f>Hyperlink("https://www.diodes.com/datasheet/download/SD05A.pdf")</f>
        <v>https://www.diodes.com/datasheet/download/SD05A.pdf</v>
      </c>
      <c r="C528" t="str">
        <f>Hyperlink("https://www.diodes.com/part/view/SD05A","SD05A")</f>
        <v>SD05A</v>
      </c>
      <c r="D528" t="s">
        <v>777</v>
      </c>
      <c r="E528" t="s">
        <v>18</v>
      </c>
      <c r="F528" t="s">
        <v>19</v>
      </c>
      <c r="G528">
        <v>1</v>
      </c>
      <c r="H528" t="s">
        <v>20</v>
      </c>
      <c r="J528">
        <v>5.5</v>
      </c>
      <c r="K528">
        <v>6.2</v>
      </c>
      <c r="N528">
        <v>13</v>
      </c>
      <c r="O528" t="s">
        <v>21</v>
      </c>
      <c r="P528" t="s">
        <v>51</v>
      </c>
    </row>
    <row r="529" spans="1:16">
      <c r="A529" t="s">
        <v>778</v>
      </c>
      <c r="B529" s="2" t="str">
        <f>Hyperlink("https://www.diodes.com/datasheet/download/SD05C.pdf")</f>
        <v>https://www.diodes.com/datasheet/download/SD05C.pdf</v>
      </c>
      <c r="C529" t="str">
        <f>Hyperlink("https://www.diodes.com/part/view/SD05C","SD05C")</f>
        <v>SD05C</v>
      </c>
      <c r="D529" t="s">
        <v>387</v>
      </c>
      <c r="E529" t="s">
        <v>18</v>
      </c>
      <c r="F529" t="s">
        <v>19</v>
      </c>
      <c r="G529">
        <v>1</v>
      </c>
      <c r="H529" t="s">
        <v>28</v>
      </c>
      <c r="J529">
        <v>5.5</v>
      </c>
      <c r="K529">
        <v>6</v>
      </c>
      <c r="L529">
        <v>1</v>
      </c>
      <c r="N529">
        <v>16</v>
      </c>
      <c r="O529">
        <v>30</v>
      </c>
      <c r="P529" t="s">
        <v>51</v>
      </c>
    </row>
    <row r="530" spans="1:16">
      <c r="A530" t="s">
        <v>779</v>
      </c>
      <c r="B530" s="2" t="str">
        <f>Hyperlink("https://www.diodes.com/datasheet/download/SD05CQ.pdf")</f>
        <v>https://www.diodes.com/datasheet/download/SD05CQ.pdf</v>
      </c>
      <c r="C530" t="str">
        <f>Hyperlink("https://www.diodes.com/part/view/SD05CQ","SD05CQ")</f>
        <v>SD05CQ</v>
      </c>
      <c r="D530" t="s">
        <v>780</v>
      </c>
      <c r="E530" t="s">
        <v>32</v>
      </c>
      <c r="F530" t="s">
        <v>33</v>
      </c>
      <c r="G530">
        <v>1</v>
      </c>
      <c r="H530" t="s">
        <v>28</v>
      </c>
      <c r="J530">
        <v>5.5</v>
      </c>
      <c r="K530">
        <v>6</v>
      </c>
      <c r="L530">
        <v>0.1</v>
      </c>
      <c r="N530">
        <v>17</v>
      </c>
      <c r="O530" t="s">
        <v>21</v>
      </c>
      <c r="P530" t="s">
        <v>51</v>
      </c>
    </row>
    <row r="531" spans="1:16">
      <c r="A531" t="s">
        <v>781</v>
      </c>
      <c r="B531" s="2" t="str">
        <f>Hyperlink("https://www.diodes.com/datasheet/download/SD09.pdf")</f>
        <v>https://www.diodes.com/datasheet/download/SD09.pdf</v>
      </c>
      <c r="C531" t="str">
        <f>Hyperlink("https://www.diodes.com/part/view/SD09","SD09")</f>
        <v>SD09</v>
      </c>
      <c r="D531" t="s">
        <v>782</v>
      </c>
      <c r="E531" t="s">
        <v>18</v>
      </c>
      <c r="F531" t="s">
        <v>19</v>
      </c>
      <c r="G531">
        <v>1</v>
      </c>
      <c r="H531" t="s">
        <v>20</v>
      </c>
      <c r="I531">
        <v>141</v>
      </c>
      <c r="J531">
        <v>9</v>
      </c>
      <c r="K531">
        <v>10</v>
      </c>
      <c r="N531">
        <v>18</v>
      </c>
      <c r="O531" t="s">
        <v>21</v>
      </c>
      <c r="P531" t="s">
        <v>51</v>
      </c>
    </row>
    <row r="532" spans="1:16">
      <c r="A532" t="s">
        <v>783</v>
      </c>
      <c r="B532" s="2" t="str">
        <f>Hyperlink("https://www.diodes.com/datasheet/download/SD09C.pdf")</f>
        <v>https://www.diodes.com/datasheet/download/SD09C.pdf</v>
      </c>
      <c r="C532" t="str">
        <f>Hyperlink("https://www.diodes.com/part/view/SD09C","SD09C")</f>
        <v>SD09C</v>
      </c>
      <c r="E532" t="s">
        <v>18</v>
      </c>
      <c r="F532" t="s">
        <v>19</v>
      </c>
      <c r="G532">
        <v>1</v>
      </c>
      <c r="H532" t="s">
        <v>28</v>
      </c>
      <c r="I532">
        <v>68</v>
      </c>
      <c r="J532">
        <v>9</v>
      </c>
      <c r="K532">
        <v>10</v>
      </c>
      <c r="L532">
        <v>3</v>
      </c>
      <c r="N532">
        <v>20</v>
      </c>
      <c r="O532">
        <v>30</v>
      </c>
      <c r="P532" t="s">
        <v>51</v>
      </c>
    </row>
    <row r="533" spans="1:16">
      <c r="A533" t="s">
        <v>784</v>
      </c>
      <c r="B533" s="2" t="str">
        <f>Hyperlink("https://www.diodes.com/datasheet/download/SD09CQ.pdf")</f>
        <v>https://www.diodes.com/datasheet/download/SD09CQ.pdf</v>
      </c>
      <c r="C533" t="str">
        <f>Hyperlink("https://www.diodes.com/part/view/SD09CQ","SD09CQ")</f>
        <v>SD09CQ</v>
      </c>
      <c r="D533" t="s">
        <v>785</v>
      </c>
      <c r="E533" t="s">
        <v>32</v>
      </c>
      <c r="F533" t="s">
        <v>33</v>
      </c>
      <c r="G533">
        <v>1</v>
      </c>
      <c r="H533" t="s">
        <v>28</v>
      </c>
      <c r="I533">
        <v>68</v>
      </c>
      <c r="J533">
        <v>9</v>
      </c>
      <c r="K533">
        <v>10</v>
      </c>
      <c r="L533">
        <v>1</v>
      </c>
      <c r="N533">
        <v>20</v>
      </c>
      <c r="O533">
        <v>30</v>
      </c>
      <c r="P533" t="s">
        <v>51</v>
      </c>
    </row>
    <row r="534" spans="1:16">
      <c r="A534" t="s">
        <v>786</v>
      </c>
      <c r="B534" s="2" t="str">
        <f>Hyperlink("https://www.diodes.com/datasheet/download/SD12.pdf")</f>
        <v>https://www.diodes.com/datasheet/download/SD12.pdf</v>
      </c>
      <c r="C534" t="str">
        <f>Hyperlink("https://www.diodes.com/part/view/SD12","SD12")</f>
        <v>SD12</v>
      </c>
      <c r="D534" t="s">
        <v>638</v>
      </c>
      <c r="E534" t="s">
        <v>18</v>
      </c>
      <c r="F534" t="s">
        <v>19</v>
      </c>
      <c r="G534">
        <v>1</v>
      </c>
      <c r="H534" t="s">
        <v>20</v>
      </c>
      <c r="J534">
        <v>12</v>
      </c>
      <c r="K534">
        <v>13.3</v>
      </c>
      <c r="M534">
        <v>15</v>
      </c>
      <c r="N534">
        <v>25</v>
      </c>
      <c r="O534" t="s">
        <v>21</v>
      </c>
      <c r="P534" t="s">
        <v>51</v>
      </c>
    </row>
    <row r="535" spans="1:16">
      <c r="A535" t="s">
        <v>787</v>
      </c>
      <c r="B535" s="2" t="str">
        <f>Hyperlink("https://www.diodes.com/datasheet/download/SD12A.pdf")</f>
        <v>https://www.diodes.com/datasheet/download/SD12A.pdf</v>
      </c>
      <c r="C535" t="str">
        <f>Hyperlink("https://www.diodes.com/part/view/SD12A","SD12A")</f>
        <v>SD12A</v>
      </c>
      <c r="D535" t="s">
        <v>782</v>
      </c>
      <c r="E535" t="s">
        <v>18</v>
      </c>
      <c r="F535" t="s">
        <v>19</v>
      </c>
      <c r="G535">
        <v>1</v>
      </c>
      <c r="H535" t="s">
        <v>20</v>
      </c>
      <c r="I535">
        <v>106</v>
      </c>
      <c r="J535">
        <v>12</v>
      </c>
      <c r="K535">
        <v>13</v>
      </c>
      <c r="L535">
        <v>1</v>
      </c>
      <c r="N535">
        <v>24</v>
      </c>
      <c r="O535" t="s">
        <v>21</v>
      </c>
      <c r="P535" t="s">
        <v>51</v>
      </c>
    </row>
    <row r="536" spans="1:16">
      <c r="A536" t="s">
        <v>788</v>
      </c>
      <c r="B536" s="2" t="str">
        <f>Hyperlink("https://www.diodes.com/datasheet/download/SD12C.pdf")</f>
        <v>https://www.diodes.com/datasheet/download/SD12C.pdf</v>
      </c>
      <c r="C536" t="str">
        <f>Hyperlink("https://www.diodes.com/part/view/SD12C","SD12C")</f>
        <v>SD12C</v>
      </c>
      <c r="E536" t="s">
        <v>18</v>
      </c>
      <c r="F536" t="s">
        <v>19</v>
      </c>
      <c r="G536">
        <v>1</v>
      </c>
      <c r="H536" t="s">
        <v>28</v>
      </c>
      <c r="I536">
        <v>52.6</v>
      </c>
      <c r="J536">
        <v>12</v>
      </c>
      <c r="K536">
        <v>13</v>
      </c>
      <c r="L536">
        <v>3</v>
      </c>
      <c r="N536">
        <v>24</v>
      </c>
      <c r="O536">
        <v>30</v>
      </c>
      <c r="P536" t="s">
        <v>51</v>
      </c>
    </row>
    <row r="537" spans="1:16">
      <c r="A537" t="s">
        <v>789</v>
      </c>
      <c r="B537" s="2" t="str">
        <f>Hyperlink("https://www.diodes.com/datasheet/download/SD12CQ.pdf")</f>
        <v>https://www.diodes.com/datasheet/download/SD12CQ.pdf</v>
      </c>
      <c r="C537" t="str">
        <f>Hyperlink("https://www.diodes.com/part/view/SD12CQ","SD12CQ")</f>
        <v>SD12CQ</v>
      </c>
      <c r="D537" t="s">
        <v>790</v>
      </c>
      <c r="E537" t="s">
        <v>32</v>
      </c>
      <c r="F537" t="s">
        <v>33</v>
      </c>
      <c r="G537">
        <v>1</v>
      </c>
      <c r="H537" t="s">
        <v>28</v>
      </c>
      <c r="I537">
        <v>52.6</v>
      </c>
      <c r="J537">
        <v>12</v>
      </c>
      <c r="K537">
        <v>13</v>
      </c>
      <c r="L537">
        <v>1</v>
      </c>
      <c r="N537">
        <v>24</v>
      </c>
      <c r="O537" t="s">
        <v>21</v>
      </c>
      <c r="P537" t="s">
        <v>51</v>
      </c>
    </row>
    <row r="538" spans="1:16">
      <c r="A538" t="s">
        <v>791</v>
      </c>
      <c r="B538" s="2" t="str">
        <f>Hyperlink("https://www.diodes.com/datasheet/download/SD12Q.pdf")</f>
        <v>https://www.diodes.com/datasheet/download/SD12Q.pdf</v>
      </c>
      <c r="C538" t="str">
        <f>Hyperlink("https://www.diodes.com/part/view/SD12Q","SD12Q")</f>
        <v>SD12Q</v>
      </c>
      <c r="D538" t="s">
        <v>782</v>
      </c>
      <c r="E538" t="s">
        <v>32</v>
      </c>
      <c r="F538" t="s">
        <v>33</v>
      </c>
      <c r="G538">
        <v>1</v>
      </c>
      <c r="H538" t="s">
        <v>20</v>
      </c>
      <c r="I538">
        <v>105</v>
      </c>
      <c r="J538">
        <v>12</v>
      </c>
      <c r="K538">
        <v>13</v>
      </c>
      <c r="L538">
        <v>1</v>
      </c>
      <c r="N538">
        <v>24</v>
      </c>
      <c r="O538" t="s">
        <v>21</v>
      </c>
      <c r="P538" t="s">
        <v>51</v>
      </c>
    </row>
    <row r="539" spans="1:16">
      <c r="A539" t="s">
        <v>792</v>
      </c>
      <c r="B539" s="2" t="str">
        <f>Hyperlink("https://www.diodes.com/datasheet/download/SD15.pdf")</f>
        <v>https://www.diodes.com/datasheet/download/SD15.pdf</v>
      </c>
      <c r="C539" t="str">
        <f>Hyperlink("https://www.diodes.com/part/view/SD15","SD15")</f>
        <v>SD15</v>
      </c>
      <c r="D539" t="s">
        <v>793</v>
      </c>
      <c r="E539" t="s">
        <v>18</v>
      </c>
      <c r="F539" t="s">
        <v>19</v>
      </c>
      <c r="G539">
        <v>1</v>
      </c>
      <c r="H539" t="s">
        <v>20</v>
      </c>
      <c r="I539">
        <v>90</v>
      </c>
      <c r="J539">
        <v>15</v>
      </c>
      <c r="K539">
        <v>16</v>
      </c>
      <c r="N539">
        <v>27</v>
      </c>
      <c r="O539" t="s">
        <v>21</v>
      </c>
      <c r="P539" t="s">
        <v>51</v>
      </c>
    </row>
    <row r="540" spans="1:16">
      <c r="A540" t="s">
        <v>794</v>
      </c>
      <c r="B540" s="2" t="str">
        <f>Hyperlink("https://www.diodes.com/datasheet/download/SD15C.pdf")</f>
        <v>https://www.diodes.com/datasheet/download/SD15C.pdf</v>
      </c>
      <c r="C540" t="str">
        <f>Hyperlink("https://www.diodes.com/part/view/SD15C","SD15C")</f>
        <v>SD15C</v>
      </c>
      <c r="D540" t="s">
        <v>795</v>
      </c>
      <c r="E540" t="s">
        <v>18</v>
      </c>
      <c r="F540" t="s">
        <v>19</v>
      </c>
      <c r="G540">
        <v>1</v>
      </c>
      <c r="H540" t="s">
        <v>28</v>
      </c>
      <c r="I540">
        <v>44</v>
      </c>
      <c r="J540">
        <v>15</v>
      </c>
      <c r="K540">
        <v>16.7</v>
      </c>
      <c r="L540">
        <v>1</v>
      </c>
      <c r="N540">
        <v>27</v>
      </c>
      <c r="O540">
        <v>30</v>
      </c>
      <c r="P540" t="s">
        <v>51</v>
      </c>
    </row>
    <row r="541" spans="1:16">
      <c r="A541" t="s">
        <v>796</v>
      </c>
      <c r="B541" s="2" t="str">
        <f>Hyperlink("https://www.diodes.com/datasheet/download/SD15CQ.pdf")</f>
        <v>https://www.diodes.com/datasheet/download/SD15CQ.pdf</v>
      </c>
      <c r="C541" t="str">
        <f>Hyperlink("https://www.diodes.com/part/view/SD15CQ","SD15CQ")</f>
        <v>SD15CQ</v>
      </c>
      <c r="D541" t="s">
        <v>790</v>
      </c>
      <c r="E541" t="s">
        <v>32</v>
      </c>
      <c r="F541" t="s">
        <v>33</v>
      </c>
      <c r="G541">
        <v>1</v>
      </c>
      <c r="H541" t="s">
        <v>28</v>
      </c>
      <c r="I541">
        <v>44</v>
      </c>
      <c r="J541">
        <v>15</v>
      </c>
      <c r="K541">
        <v>16.7</v>
      </c>
      <c r="L541">
        <v>0.5</v>
      </c>
      <c r="N541">
        <v>30</v>
      </c>
      <c r="O541" t="s">
        <v>21</v>
      </c>
      <c r="P541" t="s">
        <v>51</v>
      </c>
    </row>
    <row r="542" spans="1:16">
      <c r="A542" t="s">
        <v>797</v>
      </c>
      <c r="B542" s="2" t="str">
        <f>Hyperlink("https://www.diodes.com/datasheet/download/SD15Q.pdf")</f>
        <v>https://www.diodes.com/datasheet/download/SD15Q.pdf</v>
      </c>
      <c r="C542" t="str">
        <f>Hyperlink("https://www.diodes.com/part/view/SD15Q","SD15Q")</f>
        <v>SD15Q</v>
      </c>
      <c r="D542" t="s">
        <v>793</v>
      </c>
      <c r="E542" t="s">
        <v>32</v>
      </c>
      <c r="F542" t="s">
        <v>33</v>
      </c>
      <c r="G542">
        <v>1</v>
      </c>
      <c r="H542" t="s">
        <v>20</v>
      </c>
      <c r="I542">
        <v>88</v>
      </c>
      <c r="J542">
        <v>15</v>
      </c>
      <c r="K542">
        <v>16</v>
      </c>
      <c r="L542">
        <v>1</v>
      </c>
      <c r="N542">
        <v>27</v>
      </c>
      <c r="O542" t="s">
        <v>21</v>
      </c>
      <c r="P542" t="s">
        <v>51</v>
      </c>
    </row>
    <row r="543" spans="1:16">
      <c r="A543" t="s">
        <v>798</v>
      </c>
      <c r="B543" s="2" t="str">
        <f>Hyperlink("https://www.diodes.com/datasheet/download/SD18.pdf")</f>
        <v>https://www.diodes.com/datasheet/download/SD18.pdf</v>
      </c>
      <c r="C543" t="str">
        <f>Hyperlink("https://www.diodes.com/part/view/SD18","SD18")</f>
        <v>SD18</v>
      </c>
      <c r="D543" t="s">
        <v>793</v>
      </c>
      <c r="E543" t="s">
        <v>18</v>
      </c>
      <c r="F543" t="s">
        <v>19</v>
      </c>
      <c r="G543">
        <v>1</v>
      </c>
      <c r="H543" t="s">
        <v>20</v>
      </c>
      <c r="I543">
        <v>74</v>
      </c>
      <c r="J543">
        <v>18</v>
      </c>
      <c r="K543">
        <v>19</v>
      </c>
      <c r="N543">
        <v>36</v>
      </c>
      <c r="O543" t="s">
        <v>21</v>
      </c>
      <c r="P543" t="s">
        <v>51</v>
      </c>
    </row>
    <row r="544" spans="1:16">
      <c r="A544" t="s">
        <v>799</v>
      </c>
      <c r="B544" s="2" t="str">
        <f>Hyperlink("https://www.diodes.com/datasheet/download/SD20.pdf")</f>
        <v>https://www.diodes.com/datasheet/download/SD20.pdf</v>
      </c>
      <c r="C544" t="str">
        <f>Hyperlink("https://www.diodes.com/part/view/SD20","SD20")</f>
        <v>SD20</v>
      </c>
      <c r="D544" t="s">
        <v>800</v>
      </c>
      <c r="E544" t="s">
        <v>18</v>
      </c>
      <c r="F544" t="s">
        <v>19</v>
      </c>
      <c r="G544">
        <v>1</v>
      </c>
      <c r="H544" t="s">
        <v>20</v>
      </c>
      <c r="I544">
        <v>66</v>
      </c>
      <c r="J544">
        <v>20</v>
      </c>
      <c r="K544">
        <v>21</v>
      </c>
      <c r="N544">
        <v>37</v>
      </c>
      <c r="O544" t="s">
        <v>21</v>
      </c>
      <c r="P544" t="s">
        <v>51</v>
      </c>
    </row>
    <row r="545" spans="1:16">
      <c r="A545" t="s">
        <v>801</v>
      </c>
      <c r="B545" s="2" t="str">
        <f>Hyperlink("https://www.diodes.com/datasheet/download/SD20C.pdf")</f>
        <v>https://www.diodes.com/datasheet/download/SD20C.pdf</v>
      </c>
      <c r="C545" t="str">
        <f>Hyperlink("https://www.diodes.com/part/view/SD20C","SD20C")</f>
        <v>SD20C</v>
      </c>
      <c r="D545" t="s">
        <v>802</v>
      </c>
      <c r="E545" t="s">
        <v>18</v>
      </c>
      <c r="F545" t="s">
        <v>19</v>
      </c>
      <c r="G545">
        <v>1</v>
      </c>
      <c r="H545" t="s">
        <v>28</v>
      </c>
      <c r="I545">
        <v>31</v>
      </c>
      <c r="J545">
        <v>20</v>
      </c>
      <c r="K545">
        <v>21</v>
      </c>
      <c r="L545">
        <v>3</v>
      </c>
      <c r="N545">
        <v>37</v>
      </c>
      <c r="O545">
        <v>30</v>
      </c>
      <c r="P545" t="s">
        <v>51</v>
      </c>
    </row>
    <row r="546" spans="1:16">
      <c r="A546" t="s">
        <v>803</v>
      </c>
      <c r="B546" s="2" t="str">
        <f>Hyperlink("https://www.diodes.com/datasheet/download/SD24.pdf")</f>
        <v>https://www.diodes.com/datasheet/download/SD24.pdf</v>
      </c>
      <c r="C546" t="str">
        <f>Hyperlink("https://www.diodes.com/part/view/SD24","SD24")</f>
        <v>SD24</v>
      </c>
      <c r="D546" t="s">
        <v>804</v>
      </c>
      <c r="E546" t="s">
        <v>18</v>
      </c>
      <c r="F546" t="s">
        <v>19</v>
      </c>
      <c r="G546">
        <v>1</v>
      </c>
      <c r="H546" t="s">
        <v>20</v>
      </c>
      <c r="J546">
        <v>24</v>
      </c>
      <c r="K546">
        <v>26</v>
      </c>
      <c r="L546">
        <v>1</v>
      </c>
      <c r="N546">
        <v>44</v>
      </c>
      <c r="O546">
        <v>30</v>
      </c>
      <c r="P546" t="s">
        <v>51</v>
      </c>
    </row>
    <row r="547" spans="1:16">
      <c r="A547" t="s">
        <v>805</v>
      </c>
      <c r="B547" s="2" t="str">
        <f>Hyperlink("https://www.diodes.com/datasheet/download/SD24C.pdf")</f>
        <v>https://www.diodes.com/datasheet/download/SD24C.pdf</v>
      </c>
      <c r="C547" t="str">
        <f>Hyperlink("https://www.diodes.com/part/view/SD24C","SD24C")</f>
        <v>SD24C</v>
      </c>
      <c r="D547" t="s">
        <v>806</v>
      </c>
      <c r="E547" t="s">
        <v>18</v>
      </c>
      <c r="F547" t="s">
        <v>19</v>
      </c>
      <c r="G547">
        <v>1</v>
      </c>
      <c r="H547" t="s">
        <v>28</v>
      </c>
      <c r="J547">
        <v>24</v>
      </c>
      <c r="K547">
        <v>26.7</v>
      </c>
      <c r="L547">
        <v>10</v>
      </c>
      <c r="N547">
        <v>45</v>
      </c>
      <c r="O547">
        <v>30</v>
      </c>
      <c r="P547" t="s">
        <v>51</v>
      </c>
    </row>
    <row r="548" spans="1:16">
      <c r="A548" t="s">
        <v>807</v>
      </c>
      <c r="B548" s="2" t="str">
        <f>Hyperlink("https://www.diodes.com/datasheet/download/SD24CQ.pdf")</f>
        <v>https://www.diodes.com/datasheet/download/SD24CQ.pdf</v>
      </c>
      <c r="C548" t="str">
        <f>Hyperlink("https://www.diodes.com/part/view/SD24CQ","SD24CQ")</f>
        <v>SD24CQ</v>
      </c>
      <c r="D548" t="s">
        <v>806</v>
      </c>
      <c r="E548" t="s">
        <v>32</v>
      </c>
      <c r="F548" t="s">
        <v>33</v>
      </c>
      <c r="G548">
        <v>1</v>
      </c>
      <c r="H548" t="s">
        <v>28</v>
      </c>
      <c r="I548">
        <v>24</v>
      </c>
      <c r="J548">
        <v>24</v>
      </c>
      <c r="K548">
        <v>26.7</v>
      </c>
      <c r="L548">
        <v>0.5</v>
      </c>
      <c r="N548">
        <v>45</v>
      </c>
      <c r="O548" t="s">
        <v>21</v>
      </c>
      <c r="P548" t="s">
        <v>51</v>
      </c>
    </row>
    <row r="549" spans="1:16">
      <c r="A549" t="s">
        <v>808</v>
      </c>
      <c r="B549" s="2" t="str">
        <f>Hyperlink("https://www.diodes.com/datasheet/download/SD24Q.pdf")</f>
        <v>https://www.diodes.com/datasheet/download/SD24Q.pdf</v>
      </c>
      <c r="C549" t="str">
        <f>Hyperlink("https://www.diodes.com/part/view/SD24Q","SD24Q")</f>
        <v>SD24Q</v>
      </c>
      <c r="D549" t="s">
        <v>804</v>
      </c>
      <c r="E549" t="s">
        <v>32</v>
      </c>
      <c r="F549" t="s">
        <v>33</v>
      </c>
      <c r="G549">
        <v>1</v>
      </c>
      <c r="H549" t="s">
        <v>20</v>
      </c>
      <c r="I549">
        <v>58</v>
      </c>
      <c r="J549">
        <v>24</v>
      </c>
      <c r="K549">
        <v>26</v>
      </c>
      <c r="L549">
        <v>1</v>
      </c>
      <c r="N549">
        <v>44</v>
      </c>
      <c r="O549" t="s">
        <v>21</v>
      </c>
      <c r="P549" t="s">
        <v>51</v>
      </c>
    </row>
    <row r="550" spans="1:16">
      <c r="A550" t="s">
        <v>809</v>
      </c>
      <c r="B550" s="2" t="str">
        <f>Hyperlink("https://www.diodes.com/datasheet/download/SD36.pdf")</f>
        <v>https://www.diodes.com/datasheet/download/SD36.pdf</v>
      </c>
      <c r="C550" t="str">
        <f>Hyperlink("https://www.diodes.com/part/view/SD36","SD36")</f>
        <v>SD36</v>
      </c>
      <c r="D550" t="s">
        <v>810</v>
      </c>
      <c r="E550" t="s">
        <v>18</v>
      </c>
      <c r="F550" t="s">
        <v>19</v>
      </c>
      <c r="G550">
        <v>1</v>
      </c>
      <c r="H550" t="s">
        <v>20</v>
      </c>
      <c r="I550">
        <v>44</v>
      </c>
      <c r="J550">
        <v>36</v>
      </c>
      <c r="K550">
        <v>40</v>
      </c>
      <c r="N550">
        <v>55</v>
      </c>
      <c r="O550" t="s">
        <v>21</v>
      </c>
      <c r="P550" t="s">
        <v>51</v>
      </c>
    </row>
    <row r="551" spans="1:16">
      <c r="A551" t="s">
        <v>811</v>
      </c>
      <c r="B551" s="2" t="str">
        <f>Hyperlink("https://www.diodes.com/datasheet/download/SD36CQ.pdf")</f>
        <v>https://www.diodes.com/datasheet/download/SD36CQ.pdf</v>
      </c>
      <c r="C551" t="str">
        <f>Hyperlink("https://www.diodes.com/part/view/SD36CQ","SD36CQ")</f>
        <v>SD36CQ</v>
      </c>
      <c r="D551" t="s">
        <v>812</v>
      </c>
      <c r="E551" t="s">
        <v>32</v>
      </c>
      <c r="F551" t="s">
        <v>33</v>
      </c>
      <c r="G551">
        <v>1</v>
      </c>
      <c r="H551" t="s">
        <v>28</v>
      </c>
      <c r="I551">
        <v>22</v>
      </c>
      <c r="J551">
        <v>36</v>
      </c>
      <c r="K551">
        <v>40</v>
      </c>
      <c r="L551">
        <v>1</v>
      </c>
      <c r="N551">
        <v>60</v>
      </c>
      <c r="O551">
        <v>30</v>
      </c>
      <c r="P551" t="s">
        <v>51</v>
      </c>
    </row>
    <row r="552" spans="1:16">
      <c r="A552" t="s">
        <v>813</v>
      </c>
      <c r="B552" s="2" t="str">
        <f>Hyperlink("https://www.diodes.com/datasheet/download/SDA004.pdf")</f>
        <v>https://www.diodes.com/datasheet/download/SDA004.pdf</v>
      </c>
      <c r="C552" t="str">
        <f>Hyperlink("https://www.diodes.com/part/view/SDA004","SDA004")</f>
        <v>SDA004</v>
      </c>
      <c r="D552" t="s">
        <v>814</v>
      </c>
      <c r="E552" t="s">
        <v>18</v>
      </c>
      <c r="F552" t="s">
        <v>19</v>
      </c>
      <c r="G552">
        <v>2</v>
      </c>
      <c r="H552" t="s">
        <v>56</v>
      </c>
      <c r="I552">
        <v>3.3</v>
      </c>
      <c r="J552">
        <v>80</v>
      </c>
      <c r="P552" t="s">
        <v>74</v>
      </c>
    </row>
    <row r="553" spans="1:16">
      <c r="A553" t="s">
        <v>815</v>
      </c>
      <c r="B553" s="2" t="str">
        <f>Hyperlink("https://www.diodes.com/datasheet/download/SDA006.pdf")</f>
        <v>https://www.diodes.com/datasheet/download/SDA006.pdf</v>
      </c>
      <c r="C553" t="str">
        <f>Hyperlink("https://www.diodes.com/part/view/SDA006","SDA006")</f>
        <v>SDA006</v>
      </c>
      <c r="D553" t="s">
        <v>814</v>
      </c>
      <c r="E553" t="s">
        <v>18</v>
      </c>
      <c r="F553" t="s">
        <v>19</v>
      </c>
      <c r="G553">
        <v>3</v>
      </c>
      <c r="H553" t="s">
        <v>650</v>
      </c>
      <c r="I553">
        <v>11</v>
      </c>
      <c r="J553">
        <v>75</v>
      </c>
      <c r="L553">
        <v>2.5</v>
      </c>
      <c r="O553">
        <v>8</v>
      </c>
      <c r="P553" t="s">
        <v>74</v>
      </c>
    </row>
    <row r="554" spans="1:16">
      <c r="A554" t="s">
        <v>816</v>
      </c>
      <c r="B554" s="2" t="str">
        <f>Hyperlink("https://www.diodes.com/datasheet/download/SM05.pdf")</f>
        <v>https://www.diodes.com/datasheet/download/SM05.pdf</v>
      </c>
      <c r="C554" t="str">
        <f>Hyperlink("https://www.diodes.com/part/view/SM05","SM05")</f>
        <v>SM05</v>
      </c>
      <c r="D554" t="s">
        <v>638</v>
      </c>
      <c r="E554" t="s">
        <v>18</v>
      </c>
      <c r="F554" t="s">
        <v>33</v>
      </c>
      <c r="G554">
        <v>2</v>
      </c>
      <c r="H554" t="s">
        <v>56</v>
      </c>
      <c r="I554">
        <v>230</v>
      </c>
      <c r="J554">
        <v>5</v>
      </c>
      <c r="K554">
        <v>6.2</v>
      </c>
      <c r="M554">
        <v>17</v>
      </c>
      <c r="N554">
        <v>20.6</v>
      </c>
      <c r="O554" t="s">
        <v>37</v>
      </c>
      <c r="P554" t="s">
        <v>43</v>
      </c>
    </row>
    <row r="555" spans="1:16">
      <c r="A555" t="s">
        <v>817</v>
      </c>
      <c r="B555" s="2" t="str">
        <f>Hyperlink("https://www.diodes.com/datasheet/download/SM12.pdf")</f>
        <v>https://www.diodes.com/datasheet/download/SM12.pdf</v>
      </c>
      <c r="C555" t="str">
        <f>Hyperlink("https://www.diodes.com/part/view/SM12","SM12")</f>
        <v>SM12</v>
      </c>
      <c r="D555" t="s">
        <v>638</v>
      </c>
      <c r="E555" t="s">
        <v>18</v>
      </c>
      <c r="F555" t="s">
        <v>33</v>
      </c>
      <c r="G555">
        <v>2</v>
      </c>
      <c r="H555" t="s">
        <v>56</v>
      </c>
      <c r="I555">
        <v>95</v>
      </c>
      <c r="J555">
        <v>12</v>
      </c>
      <c r="K555">
        <v>13.3</v>
      </c>
      <c r="M555">
        <v>12</v>
      </c>
      <c r="N555">
        <v>19</v>
      </c>
      <c r="O555" t="s">
        <v>37</v>
      </c>
      <c r="P555" t="s">
        <v>43</v>
      </c>
    </row>
    <row r="556" spans="1:16">
      <c r="A556" t="s">
        <v>818</v>
      </c>
      <c r="B556" s="2" t="str">
        <f>Hyperlink("https://www.diodes.com/datasheet/download/ds40740.pdf")</f>
        <v>https://www.diodes.com/datasheet/download/ds40740.pdf</v>
      </c>
      <c r="C556" t="str">
        <f>Hyperlink("https://www.diodes.com/part/view/SMBJ43AQ","SMBJ43AQ")</f>
        <v>SMBJ43AQ</v>
      </c>
      <c r="D556" t="s">
        <v>819</v>
      </c>
      <c r="E556" t="s">
        <v>32</v>
      </c>
      <c r="F556" t="s">
        <v>33</v>
      </c>
      <c r="G556">
        <v>1</v>
      </c>
      <c r="H556" t="s">
        <v>20</v>
      </c>
      <c r="J556">
        <v>43</v>
      </c>
      <c r="K556">
        <v>47.8</v>
      </c>
      <c r="L556">
        <v>5</v>
      </c>
      <c r="N556">
        <v>69.40000000000001</v>
      </c>
      <c r="O556">
        <v>30</v>
      </c>
      <c r="P556" t="s">
        <v>820</v>
      </c>
    </row>
    <row r="557" spans="1:16">
      <c r="A557" t="s">
        <v>821</v>
      </c>
      <c r="B557" s="2" t="str">
        <f>Hyperlink("https://www.diodes.com/datasheet/download/ds43393.pdf")</f>
        <v>https://www.diodes.com/datasheet/download/ds43393.pdf</v>
      </c>
      <c r="C557" t="str">
        <f>Hyperlink("https://www.diodes.com/part/view/SMF4L3.3AQ","SMF4L3.3AQ")</f>
        <v>SMF4L3.3AQ</v>
      </c>
      <c r="D557" t="s">
        <v>712</v>
      </c>
      <c r="E557" t="s">
        <v>32</v>
      </c>
      <c r="F557" t="s">
        <v>33</v>
      </c>
      <c r="G557">
        <v>1</v>
      </c>
      <c r="H557" t="s">
        <v>20</v>
      </c>
      <c r="J557">
        <v>3.3</v>
      </c>
      <c r="K557">
        <v>4.5</v>
      </c>
      <c r="L557">
        <v>100</v>
      </c>
      <c r="M557">
        <v>43.8</v>
      </c>
      <c r="N557">
        <v>8</v>
      </c>
      <c r="O557">
        <v>30</v>
      </c>
      <c r="P557" t="s">
        <v>822</v>
      </c>
    </row>
    <row r="558" spans="1:16">
      <c r="A558" t="s">
        <v>823</v>
      </c>
      <c r="B558" s="2" t="str">
        <f>Hyperlink("https://www.diodes.com/datasheet/download/T3V3S5A_T5V0S5A_T6V0S5A_T12S5A.pdf")</f>
        <v>https://www.diodes.com/datasheet/download/T3V3S5A_T5V0S5A_T6V0S5A_T12S5A.pdf</v>
      </c>
      <c r="C558" t="str">
        <f>Hyperlink("https://www.diodes.com/part/view/T12S5A","T12S5A")</f>
        <v>T12S5A</v>
      </c>
      <c r="D558" t="s">
        <v>824</v>
      </c>
      <c r="E558" t="s">
        <v>18</v>
      </c>
      <c r="F558" t="s">
        <v>19</v>
      </c>
      <c r="G558">
        <v>1</v>
      </c>
      <c r="H558" t="s">
        <v>20</v>
      </c>
      <c r="I558">
        <v>85</v>
      </c>
      <c r="J558">
        <v>12</v>
      </c>
      <c r="K558">
        <v>14.1</v>
      </c>
      <c r="N558">
        <v>25</v>
      </c>
      <c r="O558" t="s">
        <v>21</v>
      </c>
      <c r="P558" t="s">
        <v>45</v>
      </c>
    </row>
    <row r="559" spans="1:16">
      <c r="A559" t="s">
        <v>825</v>
      </c>
      <c r="B559" s="2" t="str">
        <f>Hyperlink("https://www.diodes.com/datasheet/download/ds45280.pdf")</f>
        <v>https://www.diodes.com/datasheet/download/ds45280.pdf</v>
      </c>
      <c r="C559" t="str">
        <f>Hyperlink("https://www.diodes.com/part/view/T12S5AQ","T12S5AQ")</f>
        <v>T12S5AQ</v>
      </c>
      <c r="D559" t="s">
        <v>824</v>
      </c>
      <c r="E559" t="s">
        <v>32</v>
      </c>
      <c r="F559" t="s">
        <v>33</v>
      </c>
      <c r="G559">
        <v>1</v>
      </c>
      <c r="H559" t="s">
        <v>20</v>
      </c>
      <c r="I559">
        <v>85</v>
      </c>
      <c r="J559">
        <v>12</v>
      </c>
      <c r="K559">
        <v>14.1</v>
      </c>
      <c r="L559">
        <v>1</v>
      </c>
      <c r="M559">
        <v>12</v>
      </c>
      <c r="N559">
        <v>25</v>
      </c>
      <c r="O559">
        <v>30</v>
      </c>
      <c r="P559" t="s">
        <v>45</v>
      </c>
    </row>
    <row r="560" spans="1:16">
      <c r="A560" t="s">
        <v>826</v>
      </c>
      <c r="B560" s="2" t="str">
        <f>Hyperlink("https://www.diodes.com/datasheet/download/T3V3S5A_T5V0S5A_T6V0S5A_T12S5A.pdf")</f>
        <v>https://www.diodes.com/datasheet/download/T3V3S5A_T5V0S5A_T6V0S5A_T12S5A.pdf</v>
      </c>
      <c r="C560" t="str">
        <f>Hyperlink("https://www.diodes.com/part/view/T3V3S5A","T3V3S5A")</f>
        <v>T3V3S5A</v>
      </c>
      <c r="D560" t="s">
        <v>824</v>
      </c>
      <c r="E560" t="s">
        <v>18</v>
      </c>
      <c r="F560" t="s">
        <v>19</v>
      </c>
      <c r="G560">
        <v>1</v>
      </c>
      <c r="H560" t="s">
        <v>20</v>
      </c>
      <c r="I560">
        <v>125</v>
      </c>
      <c r="J560">
        <v>3.3</v>
      </c>
      <c r="K560">
        <v>5</v>
      </c>
      <c r="N560">
        <v>13.7</v>
      </c>
      <c r="O560" t="s">
        <v>21</v>
      </c>
      <c r="P560" t="s">
        <v>45</v>
      </c>
    </row>
    <row r="561" spans="1:16">
      <c r="A561" t="s">
        <v>827</v>
      </c>
      <c r="B561" s="2" t="str">
        <f>Hyperlink("https://www.diodes.com/datasheet/download/ds45280.pdf")</f>
        <v>https://www.diodes.com/datasheet/download/ds45280.pdf</v>
      </c>
      <c r="C561" t="str">
        <f>Hyperlink("https://www.diodes.com/part/view/T3V3S5AQ","T3V3S5AQ")</f>
        <v>T3V3S5AQ</v>
      </c>
      <c r="D561" t="s">
        <v>824</v>
      </c>
      <c r="E561" t="s">
        <v>32</v>
      </c>
      <c r="F561" t="s">
        <v>33</v>
      </c>
      <c r="G561">
        <v>1</v>
      </c>
      <c r="H561" t="s">
        <v>20</v>
      </c>
      <c r="I561">
        <v>125</v>
      </c>
      <c r="J561">
        <v>3.3</v>
      </c>
      <c r="K561">
        <v>5</v>
      </c>
      <c r="L561">
        <v>1</v>
      </c>
      <c r="M561">
        <v>16</v>
      </c>
      <c r="N561">
        <v>13.7</v>
      </c>
      <c r="O561">
        <v>30</v>
      </c>
      <c r="P561" t="s">
        <v>45</v>
      </c>
    </row>
    <row r="562" spans="1:16">
      <c r="A562" t="s">
        <v>828</v>
      </c>
      <c r="B562" s="2" t="str">
        <f>Hyperlink("https://www.diodes.com/datasheet/download/T5V0DLP.pdf")</f>
        <v>https://www.diodes.com/datasheet/download/T5V0DLP.pdf</v>
      </c>
      <c r="C562" t="str">
        <f>Hyperlink("https://www.diodes.com/part/view/T5V0DLP","T5V0DLP")</f>
        <v>T5V0DLP</v>
      </c>
      <c r="D562" t="s">
        <v>829</v>
      </c>
      <c r="E562" t="s">
        <v>18</v>
      </c>
      <c r="F562" t="s">
        <v>19</v>
      </c>
      <c r="G562">
        <v>2</v>
      </c>
      <c r="H562" t="s">
        <v>56</v>
      </c>
      <c r="J562">
        <v>5</v>
      </c>
      <c r="K562">
        <v>6.1</v>
      </c>
      <c r="N562">
        <v>12.5</v>
      </c>
      <c r="O562" t="s">
        <v>37</v>
      </c>
      <c r="P562" t="s">
        <v>267</v>
      </c>
    </row>
    <row r="563" spans="1:16">
      <c r="A563" t="s">
        <v>830</v>
      </c>
      <c r="B563" s="2" t="str">
        <f>Hyperlink("https://www.diodes.com/datasheet/download/T3V3S5A_T5V0S5A_T6V0S5A_T12S5A.pdf")</f>
        <v>https://www.diodes.com/datasheet/download/T3V3S5A_T5V0S5A_T6V0S5A_T12S5A.pdf</v>
      </c>
      <c r="C563" t="str">
        <f>Hyperlink("https://www.diodes.com/part/view/T5V0S5A","T5V0S5A")</f>
        <v>T5V0S5A</v>
      </c>
      <c r="D563" t="s">
        <v>824</v>
      </c>
      <c r="E563" t="s">
        <v>18</v>
      </c>
      <c r="F563" t="s">
        <v>19</v>
      </c>
      <c r="G563">
        <v>1</v>
      </c>
      <c r="H563" t="s">
        <v>20</v>
      </c>
      <c r="I563">
        <v>130</v>
      </c>
      <c r="J563">
        <v>5</v>
      </c>
      <c r="K563">
        <v>6.2</v>
      </c>
      <c r="N563">
        <v>17.3</v>
      </c>
      <c r="O563" t="s">
        <v>21</v>
      </c>
      <c r="P563" t="s">
        <v>45</v>
      </c>
    </row>
    <row r="564" spans="1:16">
      <c r="A564" t="s">
        <v>831</v>
      </c>
      <c r="B564" s="2" t="str">
        <f>Hyperlink("https://www.diodes.com/datasheet/download/ds45280.pdf")</f>
        <v>https://www.diodes.com/datasheet/download/ds45280.pdf</v>
      </c>
      <c r="C564" t="str">
        <f>Hyperlink("https://www.diodes.com/part/view/T5V0S5AQ","T5V0S5AQ")</f>
        <v>T5V0S5AQ</v>
      </c>
      <c r="D564" t="s">
        <v>824</v>
      </c>
      <c r="E564" t="s">
        <v>32</v>
      </c>
      <c r="F564" t="s">
        <v>33</v>
      </c>
      <c r="G564">
        <v>1</v>
      </c>
      <c r="H564" t="s">
        <v>20</v>
      </c>
      <c r="I564">
        <v>130</v>
      </c>
      <c r="J564">
        <v>5</v>
      </c>
      <c r="K564">
        <v>6.2</v>
      </c>
      <c r="L564">
        <v>0.05</v>
      </c>
      <c r="N564">
        <v>6.7</v>
      </c>
      <c r="O564">
        <v>30</v>
      </c>
      <c r="P564" t="s">
        <v>45</v>
      </c>
    </row>
    <row r="565" spans="1:16">
      <c r="A565" t="s">
        <v>832</v>
      </c>
      <c r="B565" s="2" t="str">
        <f>Hyperlink("https://www.diodes.com/datasheet/download/T3V3S5A_T5V0S5A_T6V0S5A_T12S5A.pdf")</f>
        <v>https://www.diodes.com/datasheet/download/T3V3S5A_T5V0S5A_T6V0S5A_T12S5A.pdf</v>
      </c>
      <c r="C565" t="str">
        <f>Hyperlink("https://www.diodes.com/part/view/T6V0S5A","T6V0S5A")</f>
        <v>T6V0S5A</v>
      </c>
      <c r="D565" t="s">
        <v>824</v>
      </c>
      <c r="E565" t="s">
        <v>18</v>
      </c>
      <c r="F565" t="s">
        <v>19</v>
      </c>
      <c r="G565">
        <v>1</v>
      </c>
      <c r="H565" t="s">
        <v>20</v>
      </c>
      <c r="I565">
        <v>110</v>
      </c>
      <c r="J565">
        <v>6</v>
      </c>
      <c r="K565">
        <v>6.8</v>
      </c>
      <c r="N565">
        <v>20</v>
      </c>
      <c r="O565" t="s">
        <v>21</v>
      </c>
      <c r="P565" t="s">
        <v>45</v>
      </c>
    </row>
    <row r="566" spans="1:16">
      <c r="A566" t="s">
        <v>833</v>
      </c>
      <c r="B566" s="2" t="str">
        <f>Hyperlink("https://www.diodes.com/datasheet/download/ds45280.pdf")</f>
        <v>https://www.diodes.com/datasheet/download/ds45280.pdf</v>
      </c>
      <c r="C566" t="str">
        <f>Hyperlink("https://www.diodes.com/part/view/T6V0S5AQ","T6V0S5AQ")</f>
        <v>T6V0S5AQ</v>
      </c>
      <c r="D566" t="s">
        <v>824</v>
      </c>
      <c r="E566" t="s">
        <v>32</v>
      </c>
      <c r="F566" t="s">
        <v>33</v>
      </c>
      <c r="G566">
        <v>1</v>
      </c>
      <c r="H566" t="s">
        <v>20</v>
      </c>
      <c r="I566">
        <v>110</v>
      </c>
      <c r="J566">
        <v>6</v>
      </c>
      <c r="K566">
        <v>6.8</v>
      </c>
      <c r="L566">
        <v>1</v>
      </c>
      <c r="M566">
        <v>13</v>
      </c>
      <c r="N566">
        <v>20</v>
      </c>
      <c r="O566">
        <v>30</v>
      </c>
      <c r="P566" t="s">
        <v>45</v>
      </c>
    </row>
    <row r="567" spans="1:16">
      <c r="A567" t="s">
        <v>834</v>
      </c>
      <c r="B567" s="2" t="str">
        <f>Hyperlink("https://www.diodes.com/datasheet/download/TPD6V8LPN.pdf")</f>
        <v>https://www.diodes.com/datasheet/download/TPD6V8LPN.pdf</v>
      </c>
      <c r="C567" t="str">
        <f>Hyperlink("https://www.diodes.com/part/view/TPD6V8LPN","TPD6V8LPN")</f>
        <v>TPD6V8LPN</v>
      </c>
      <c r="D567" t="s">
        <v>835</v>
      </c>
      <c r="E567" t="s">
        <v>18</v>
      </c>
      <c r="F567" t="s">
        <v>19</v>
      </c>
      <c r="G567">
        <v>1</v>
      </c>
      <c r="H567" t="s">
        <v>20</v>
      </c>
      <c r="I567">
        <v>65</v>
      </c>
      <c r="J567">
        <v>5</v>
      </c>
      <c r="K567">
        <v>6.4</v>
      </c>
      <c r="N567">
        <v>19</v>
      </c>
      <c r="O567" t="s">
        <v>37</v>
      </c>
      <c r="P567" t="s">
        <v>22</v>
      </c>
    </row>
  </sheetData>
  <autoFilter ref="A1:P567"/>
  <hyperlinks>
    <hyperlink ref="B2" r:id="rId_hyperlink_1" tooltip="https://www.diodes.com/datasheet/download/D10V0H1U2LP.pdf" display="https://www.diodes.com/datasheet/download/D10V0H1U2LP.pdf"/>
    <hyperlink ref="C2" r:id="rId_hyperlink_2" tooltip="D10V0H1U2LP" display="D10V0H1U2LP"/>
    <hyperlink ref="B3" r:id="rId_hyperlink_3" tooltip="https://www.diodes.com/datasheet/download/D7V5S1U3LP20-D48V0S1U3LP20.pdf" display="https://www.diodes.com/datasheet/download/D7V5S1U3LP20-D48V0S1U3LP20.pdf"/>
    <hyperlink ref="C3" r:id="rId_hyperlink_4" tooltip="D10V0S1U3LP20" display="D10V0S1U3LP20"/>
    <hyperlink ref="B4" r:id="rId_hyperlink_5" tooltip="https://www.diodes.com/datasheet/download/D10V0X1B2LP.pdf" display="https://www.diodes.com/datasheet/download/D10V0X1B2LP.pdf"/>
    <hyperlink ref="C4" r:id="rId_hyperlink_6" tooltip="D10V0X1B2LP" display="D10V0X1B2LP"/>
    <hyperlink ref="B5" r:id="rId_hyperlink_7" tooltip="https://www.diodes.com/datasheet/download/DS43178.pdf" display="https://www.diodes.com/datasheet/download/DS43178.pdf"/>
    <hyperlink ref="C5" r:id="rId_hyperlink_8" tooltip="D10V0X1B2LP4Q" display="D10V0X1B2LP4Q"/>
    <hyperlink ref="B6" r:id="rId_hyperlink_9" tooltip="https://www.diodes.com/datasheet/download/D10V0X1B2LPQ.pdf" display="https://www.diodes.com/datasheet/download/D10V0X1B2LPQ.pdf"/>
    <hyperlink ref="C6" r:id="rId_hyperlink_10" tooltip="D10V0X1B2LPQ" display="D10V0X1B2LPQ"/>
    <hyperlink ref="B7" r:id="rId_hyperlink_11" tooltip="https://www.diodes.com/datasheet/download/D1213A-01LP.pdf" display="https://www.diodes.com/datasheet/download/D1213A-01LP.pdf"/>
    <hyperlink ref="C7" r:id="rId_hyperlink_12" tooltip="D1213A-01LP" display="D1213A-01LP"/>
    <hyperlink ref="B8" r:id="rId_hyperlink_13" tooltip="https://www.diodes.com/datasheet/download/D1213A-01LP4.pdf" display="https://www.diodes.com/datasheet/download/D1213A-01LP4.pdf"/>
    <hyperlink ref="C8" r:id="rId_hyperlink_14" tooltip="D1213A-01LP4" display="D1213A-01LP4"/>
    <hyperlink ref="B9" r:id="rId_hyperlink_15" tooltip="https://www.diodes.com/datasheet/download/D1213A-01LPQ.pdf" display="https://www.diodes.com/datasheet/download/D1213A-01LPQ.pdf"/>
    <hyperlink ref="C9" r:id="rId_hyperlink_16" tooltip="D1213A-01LPQ" display="D1213A-01LPQ"/>
    <hyperlink ref="B10" r:id="rId_hyperlink_17" tooltip="https://www.diodes.com/datasheet/download/D1213A-01SO.pdf" display="https://www.diodes.com/datasheet/download/D1213A-01SO.pdf"/>
    <hyperlink ref="C10" r:id="rId_hyperlink_18" tooltip="D1213A-01SO" display="D1213A-01SO"/>
    <hyperlink ref="B11" r:id="rId_hyperlink_19" tooltip="https://www.diodes.com/datasheet/download/D1213A-01T.pdf" display="https://www.diodes.com/datasheet/download/D1213A-01T.pdf"/>
    <hyperlink ref="C11" r:id="rId_hyperlink_20" tooltip="D1213A-01T" display="D1213A-01T"/>
    <hyperlink ref="B12" r:id="rId_hyperlink_21" tooltip="https://www.diodes.com/datasheet/download/D1213A-01W.pdf" display="https://www.diodes.com/datasheet/download/D1213A-01W.pdf"/>
    <hyperlink ref="C12" r:id="rId_hyperlink_22" tooltip="D1213A-01W" display="D1213A-01W"/>
    <hyperlink ref="B13" r:id="rId_hyperlink_23" tooltip="https://www.diodes.com/datasheet/download/D1213A-01WQ.pdf" display="https://www.diodes.com/datasheet/download/D1213A-01WQ.pdf"/>
    <hyperlink ref="C13" r:id="rId_hyperlink_24" tooltip="D1213A-01WQ" display="D1213A-01WQ"/>
    <hyperlink ref="B14" r:id="rId_hyperlink_25" tooltip="https://www.diodes.com/datasheet/download/D1213A-01WS.pdf" display="https://www.diodes.com/datasheet/download/D1213A-01WS.pdf"/>
    <hyperlink ref="C14" r:id="rId_hyperlink_26" tooltip="D1213A-01WS" display="D1213A-01WS"/>
    <hyperlink ref="B15" r:id="rId_hyperlink_27" tooltip="https://www.diodes.com/datasheet/download/D1213A+01WSQ.pdf" display="https://www.diodes.com/datasheet/download/D1213A+01WSQ.pdf"/>
    <hyperlink ref="C15" r:id="rId_hyperlink_28" tooltip="D1213A-01WSQ" display="D1213A-01WSQ"/>
    <hyperlink ref="B16" r:id="rId_hyperlink_29" tooltip="https://www.diodes.com/datasheet/download/D1213A-02S.pdf" display="https://www.diodes.com/datasheet/download/D1213A-02S.pdf"/>
    <hyperlink ref="C16" r:id="rId_hyperlink_30" tooltip="D1213A-02S" display="D1213A-02S"/>
    <hyperlink ref="B17" r:id="rId_hyperlink_31" tooltip="https://www.diodes.com/datasheet/download/D1213A-02SM.pdf" display="https://www.diodes.com/datasheet/download/D1213A-02SM.pdf"/>
    <hyperlink ref="C17" r:id="rId_hyperlink_32" tooltip="D1213A-02SM" display="D1213A-02SM"/>
    <hyperlink ref="B18" r:id="rId_hyperlink_33" tooltip="https://www.diodes.com/datasheet/download/D1213A-02SO.pdf" display="https://www.diodes.com/datasheet/download/D1213A-02SO.pdf"/>
    <hyperlink ref="C18" r:id="rId_hyperlink_34" tooltip="D1213A-02SO" display="D1213A-02SO"/>
    <hyperlink ref="B19" r:id="rId_hyperlink_35" tooltip="https://www.diodes.com/datasheet/download/D1213A-02SOL.pdf" display="https://www.diodes.com/datasheet/download/D1213A-02SOL.pdf"/>
    <hyperlink ref="C19" r:id="rId_hyperlink_36" tooltip="D1213A-02SOL" display="D1213A-02SOL"/>
    <hyperlink ref="B20" r:id="rId_hyperlink_37" tooltip="https://www.diodes.com/datasheet/download/D1213A-02SOLQ.pdf" display="https://www.diodes.com/datasheet/download/D1213A-02SOLQ.pdf"/>
    <hyperlink ref="C20" r:id="rId_hyperlink_38" tooltip="D1213A-02SOLQ" display="D1213A-02SOLQ"/>
    <hyperlink ref="B21" r:id="rId_hyperlink_39" tooltip="https://www.diodes.com/datasheet/download/D1213A-02SR.pdf" display="https://www.diodes.com/datasheet/download/D1213A-02SR.pdf"/>
    <hyperlink ref="C21" r:id="rId_hyperlink_40" tooltip="D1213A-02SR" display="D1213A-02SR"/>
    <hyperlink ref="B22" r:id="rId_hyperlink_41" tooltip="https://www.diodes.com/datasheet/download/D1213A-02WL.pdf" display="https://www.diodes.com/datasheet/download/D1213A-02WL.pdf"/>
    <hyperlink ref="C22" r:id="rId_hyperlink_42" tooltip="D1213A-02WL" display="D1213A-02WL"/>
    <hyperlink ref="B23" r:id="rId_hyperlink_43" tooltip="https://www.diodes.com/datasheet/download/D1213A-02WLQ.pdf" display="https://www.diodes.com/datasheet/download/D1213A-02WLQ.pdf"/>
    <hyperlink ref="C23" r:id="rId_hyperlink_44" tooltip="D1213A-02WLQ" display="D1213A-02WLQ"/>
    <hyperlink ref="B24" r:id="rId_hyperlink_45" tooltip="https://www.diodes.com/datasheet/download/D1213A-04MR.pdf" display="https://www.diodes.com/datasheet/download/D1213A-04MR.pdf"/>
    <hyperlink ref="C24" r:id="rId_hyperlink_46" tooltip="D1213A-04MR" display="D1213A-04MR"/>
    <hyperlink ref="B25" r:id="rId_hyperlink_47" tooltip="https://www.diodes.com/datasheet/download/D1213A-04S.pdf" display="https://www.diodes.com/datasheet/download/D1213A-04S.pdf"/>
    <hyperlink ref="C25" r:id="rId_hyperlink_48" tooltip="D1213A-04S" display="D1213A-04S"/>
    <hyperlink ref="B26" r:id="rId_hyperlink_49" tooltip="https://www.diodes.com/datasheet/download/D1213A-04SO.pdf" display="https://www.diodes.com/datasheet/download/D1213A-04SO.pdf"/>
    <hyperlink ref="C26" r:id="rId_hyperlink_50" tooltip="D1213A-04SO" display="D1213A-04SO"/>
    <hyperlink ref="B27" r:id="rId_hyperlink_51" tooltip="https://www.diodes.com/datasheet/download/D1213A-04TS.pdf" display="https://www.diodes.com/datasheet/download/D1213A-04TS.pdf"/>
    <hyperlink ref="C27" r:id="rId_hyperlink_52" tooltip="D1213A-04TS" display="D1213A-04TS"/>
    <hyperlink ref="B28" r:id="rId_hyperlink_53" tooltip="https://www.diodes.com/datasheet/download/D1213A-04TSQ.pdf" display="https://www.diodes.com/datasheet/download/D1213A-04TSQ.pdf"/>
    <hyperlink ref="C28" r:id="rId_hyperlink_54" tooltip="D1213A-04TSQ" display="D1213A-04TSQ"/>
    <hyperlink ref="B29" r:id="rId_hyperlink_55" tooltip="https://www.diodes.com/datasheet/download/D1213A-04V.pdf" display="https://www.diodes.com/datasheet/download/D1213A-04V.pdf"/>
    <hyperlink ref="C29" r:id="rId_hyperlink_56" tooltip="D1213A-04V" display="D1213A-04V"/>
    <hyperlink ref="B30" r:id="rId_hyperlink_57" tooltip="https://www.diodes.com/datasheet/download/D1213A-04VQ.pdf" display="https://www.diodes.com/datasheet/download/D1213A-04VQ.pdf"/>
    <hyperlink ref="C30" r:id="rId_hyperlink_58" tooltip="D1213A-04VQ" display="D1213A-04VQ"/>
    <hyperlink ref="B31" r:id="rId_hyperlink_59" tooltip="https://www.diodes.com/datasheet/download/D12V0H1U2LP.pdf" display="https://www.diodes.com/datasheet/download/D12V0H1U2LP.pdf"/>
    <hyperlink ref="C31" r:id="rId_hyperlink_60" tooltip="D12V0H1U2LP" display="D12V0H1U2LP"/>
    <hyperlink ref="B32" r:id="rId_hyperlink_61" tooltip="https://www.diodes.com/datasheet/download/D12V0H1U2LP1610.pdf" display="https://www.diodes.com/datasheet/download/D12V0H1U2LP1610.pdf"/>
    <hyperlink ref="C32" r:id="rId_hyperlink_62" tooltip="D12V0H1U2LP1610" display="D12V0H1U2LP1610"/>
    <hyperlink ref="B33" r:id="rId_hyperlink_63" tooltip="https://www.diodes.com/datasheet/download/D12V0H1U2WS.pdf" display="https://www.diodes.com/datasheet/download/D12V0H1U2WS.pdf"/>
    <hyperlink ref="C33" r:id="rId_hyperlink_64" tooltip="D12V0H1U2WS" display="D12V0H1U2WS"/>
    <hyperlink ref="B34" r:id="rId_hyperlink_65" tooltip="https://www.diodes.com/datasheet/download/D12V0H1U2WSQ.pdf" display="https://www.diodes.com/datasheet/download/D12V0H1U2WSQ.pdf"/>
    <hyperlink ref="C34" r:id="rId_hyperlink_66" tooltip="D12V0H1U2WSQ" display="D12V0H1U2WSQ"/>
    <hyperlink ref="B35" r:id="rId_hyperlink_67" tooltip="https://www.diodes.com/datasheet/download/D12V0H2U3SO.pdf" display="https://www.diodes.com/datasheet/download/D12V0H2U3SO.pdf"/>
    <hyperlink ref="C35" r:id="rId_hyperlink_68" tooltip="D12V0H2U3SO" display="D12V0H2U3SO"/>
    <hyperlink ref="B36" r:id="rId_hyperlink_69" tooltip="https://www.diodes.com/datasheet/download/D12V0HA1U2LP.pdf" display="https://www.diodes.com/datasheet/download/D12V0HA1U2LP.pdf"/>
    <hyperlink ref="C36" r:id="rId_hyperlink_70" tooltip="D12V0HA1U2LP" display="D12V0HA1U2LP"/>
    <hyperlink ref="B37" r:id="rId_hyperlink_71" tooltip="https://www.diodes.com/datasheet/download/D12V0HA1U2LPQ.pdf" display="https://www.diodes.com/datasheet/download/D12V0HA1U2LPQ.pdf"/>
    <hyperlink ref="C37" r:id="rId_hyperlink_72" tooltip="D12V0HA1U2LPQ" display="D12V0HA1U2LPQ"/>
    <hyperlink ref="B38" r:id="rId_hyperlink_73" tooltip="https://www.diodes.com/datasheet/download/D12V0HA1U2SLP.pdf" display="https://www.diodes.com/datasheet/download/D12V0HA1U2SLP.pdf"/>
    <hyperlink ref="C38" r:id="rId_hyperlink_74" tooltip="D12V0HA1U2SLP" display="D12V0HA1U2SLP"/>
    <hyperlink ref="B39" r:id="rId_hyperlink_75" tooltip="https://www.diodes.com/datasheet/download/D12V0L1B2LP.pdf" display="https://www.diodes.com/datasheet/download/D12V0L1B2LP.pdf"/>
    <hyperlink ref="C39" r:id="rId_hyperlink_76" tooltip="D12V0L1B2LP" display="D12V0L1B2LP"/>
    <hyperlink ref="B40" r:id="rId_hyperlink_77" tooltip="https://www.diodes.com/datasheet/download/D12V0M1U2LP3.pdf" display="https://www.diodes.com/datasheet/download/D12V0M1U2LP3.pdf"/>
    <hyperlink ref="C40" r:id="rId_hyperlink_78" tooltip="D12V0M1U2LP3" display="D12V0M1U2LP3"/>
    <hyperlink ref="B41" r:id="rId_hyperlink_79" tooltip="https://www.diodes.com/datasheet/download/D12V0M1U2S9.pdf" display="https://www.diodes.com/datasheet/download/D12V0M1U2S9.pdf"/>
    <hyperlink ref="C41" r:id="rId_hyperlink_80" tooltip="D12V0M1U2S9" display="D12V0M1U2S9"/>
    <hyperlink ref="B42" r:id="rId_hyperlink_81" tooltip="https://www.diodes.com/datasheet/download/D12V0M1U2S9Q.pdf" display="https://www.diodes.com/datasheet/download/D12V0M1U2S9Q.pdf"/>
    <hyperlink ref="C42" r:id="rId_hyperlink_82" tooltip="D12V0M1U2S9Q" display="D12V0M1U2S9Q"/>
    <hyperlink ref="B43" r:id="rId_hyperlink_83" tooltip="https://www.diodes.com/datasheet/download/D12V0M1U2T.pdf" display="https://www.diodes.com/datasheet/download/D12V0M1U2T.pdf"/>
    <hyperlink ref="C43" r:id="rId_hyperlink_84" tooltip="D12V0M1U2T" display="D12V0M1U2T"/>
    <hyperlink ref="B44" r:id="rId_hyperlink_85" tooltip="https://www.diodes.com/datasheet/download/D12V0M2U3SLP.pdf" display="https://www.diodes.com/datasheet/download/D12V0M2U3SLP.pdf"/>
    <hyperlink ref="C44" r:id="rId_hyperlink_86" tooltip="D12V0M2U3SLP" display="D12V0M2U3SLP"/>
    <hyperlink ref="B45" r:id="rId_hyperlink_87" tooltip="https://www.diodes.com/datasheet/download/ds41785.pdf" display="https://www.diodes.com/datasheet/download/ds41785.pdf"/>
    <hyperlink ref="C45" r:id="rId_hyperlink_88" tooltip="D12V0S1U2LP1608" display="D12V0S1U2LP1608"/>
    <hyperlink ref="B46" r:id="rId_hyperlink_89" tooltip="https://www.diodes.com/datasheet/download/D12V0S1U2LP1610_D50V0S1U2LP1610.pdf" display="https://www.diodes.com/datasheet/download/D12V0S1U2LP1610_D50V0S1U2LP1610.pdf"/>
    <hyperlink ref="C46" r:id="rId_hyperlink_90" tooltip="D12V0S1U2LP1610" display="D12V0S1U2LP1610"/>
    <hyperlink ref="B47" r:id="rId_hyperlink_91" tooltip="https://www.diodes.com/datasheet/download/D12V0S1U2LP1610Q.pdf" display="https://www.diodes.com/datasheet/download/D12V0S1U2LP1610Q.pdf"/>
    <hyperlink ref="C47" r:id="rId_hyperlink_92" tooltip="D12V0S1U2LP1610Q" display="D12V0S1U2LP1610Q"/>
    <hyperlink ref="B48" r:id="rId_hyperlink_93" tooltip="https://www.diodes.com/datasheet/download/D7V5S1U3LP20-D48V0S1U3LP20.pdf" display="https://www.diodes.com/datasheet/download/D7V5S1U3LP20-D48V0S1U3LP20.pdf"/>
    <hyperlink ref="C48" r:id="rId_hyperlink_94" tooltip="D12V0S1U3LP20" display="D12V0S1U3LP20"/>
    <hyperlink ref="B49" r:id="rId_hyperlink_95" tooltip="https://www.diodes.com/datasheet/download/D12V0X1B2CSP.pdf" display="https://www.diodes.com/datasheet/download/D12V0X1B2CSP.pdf"/>
    <hyperlink ref="C49" r:id="rId_hyperlink_96" tooltip="D12V0X1B2CSP" display="D12V0X1B2CSP"/>
    <hyperlink ref="B50" r:id="rId_hyperlink_97" tooltip="https://www.diodes.com/datasheet/download/D12V0X1B2LP.pdf" display="https://www.diodes.com/datasheet/download/D12V0X1B2LP.pdf"/>
    <hyperlink ref="C50" r:id="rId_hyperlink_98" tooltip="D12V0X1B2LP" display="D12V0X1B2LP"/>
    <hyperlink ref="B51" r:id="rId_hyperlink_99" tooltip="https://www.diodes.com/datasheet/download/DS43178.pdf" display="https://www.diodes.com/datasheet/download/DS43178.pdf"/>
    <hyperlink ref="C51" r:id="rId_hyperlink_100" tooltip="D12V0X1B2LP4Q" display="D12V0X1B2LP4Q"/>
    <hyperlink ref="B52" r:id="rId_hyperlink_101" tooltip="https://www.diodes.com/datasheet/download/D12V0X1B2LPQ.pdf" display="https://www.diodes.com/datasheet/download/D12V0X1B2LPQ.pdf"/>
    <hyperlink ref="C52" r:id="rId_hyperlink_102" tooltip="D12V0X1B2LPQ" display="D12V0X1B2LPQ"/>
    <hyperlink ref="B53" r:id="rId_hyperlink_103" tooltip="https://www.diodes.com/datasheet/download/D13AP2WF.pdf" display="https://www.diodes.com/datasheet/download/D13AP2WF.pdf"/>
    <hyperlink ref="C53" r:id="rId_hyperlink_104" tooltip="D13AP2WF" display="D13AP2WF"/>
    <hyperlink ref="B54" r:id="rId_hyperlink_105" tooltip="https://www.diodes.com/datasheet/download/D14V0H1U2LP.pdf" display="https://www.diodes.com/datasheet/download/D14V0H1U2LP.pdf"/>
    <hyperlink ref="C54" r:id="rId_hyperlink_106" tooltip="D14V0H1U2LP" display="D14V0H1U2LP"/>
    <hyperlink ref="B55" r:id="rId_hyperlink_107" tooltip="https://www.diodes.com/datasheet/download/D14V0H1U2LP1610.pdf" display="https://www.diodes.com/datasheet/download/D14V0H1U2LP1610.pdf"/>
    <hyperlink ref="C55" r:id="rId_hyperlink_108" tooltip="D14V0H1U2LP1610" display="D14V0H1U2LP1610"/>
    <hyperlink ref="B56" r:id="rId_hyperlink_109" tooltip="https://www.diodes.com/datasheet/download/D14V0H1U2WS.pdf" display="https://www.diodes.com/datasheet/download/D14V0H1U2WS.pdf"/>
    <hyperlink ref="C56" r:id="rId_hyperlink_110" tooltip="D14V0H1U2WS" display="D14V0H1U2WS"/>
    <hyperlink ref="B57" r:id="rId_hyperlink_111" tooltip="https://www.diodes.com/datasheet/download/D14V0S1U2WS.pdf" display="https://www.diodes.com/datasheet/download/D14V0S1U2WS.pdf"/>
    <hyperlink ref="C57" r:id="rId_hyperlink_112" tooltip="D14V0S1U2WS" display="D14V0S1U2WS"/>
    <hyperlink ref="B58" r:id="rId_hyperlink_113" tooltip="https://www.diodes.com/datasheet/download/D15V0H1U2LP.pdf" display="https://www.diodes.com/datasheet/download/D15V0H1U2LP.pdf"/>
    <hyperlink ref="C58" r:id="rId_hyperlink_114" tooltip="D15V0H1U2LP" display="D15V0H1U2LP"/>
    <hyperlink ref="B59" r:id="rId_hyperlink_115" tooltip="https://www.diodes.com/datasheet/download/D15V0H1U2LP16.pdf" display="https://www.diodes.com/datasheet/download/D15V0H1U2LP16.pdf"/>
    <hyperlink ref="C59" r:id="rId_hyperlink_116" tooltip="D15V0H1U2LP16" display="D15V0H1U2LP16"/>
    <hyperlink ref="B60" r:id="rId_hyperlink_117" tooltip="https://www.diodes.com/datasheet/download/D15V0HA1U2LP.pdf" display="https://www.diodes.com/datasheet/download/D15V0HA1U2LP.pdf"/>
    <hyperlink ref="C60" r:id="rId_hyperlink_118" tooltip="D15V0HA1U2LP" display="D15V0HA1U2LP"/>
    <hyperlink ref="B61" r:id="rId_hyperlink_119" tooltip="https://www.diodes.com/datasheet/download/D15V0M1U2LP3.pdf" display="https://www.diodes.com/datasheet/download/D15V0M1U2LP3.pdf"/>
    <hyperlink ref="C61" r:id="rId_hyperlink_120" tooltip="D15V0M1U2LP3" display="D15V0M1U2LP3"/>
    <hyperlink ref="B62" r:id="rId_hyperlink_121" tooltip="https://www.diodes.com/datasheet/download/D15V0M2U3SLP.pdf" display="https://www.diodes.com/datasheet/download/D15V0M2U3SLP.pdf"/>
    <hyperlink ref="C62" r:id="rId_hyperlink_122" tooltip="D15V0M2U3SLP" display="D15V0M2U3SLP"/>
    <hyperlink ref="B63" r:id="rId_hyperlink_123" tooltip="https://www.diodes.com/datasheet/download/D15V0R1B2LP.pdf" display="https://www.diodes.com/datasheet/download/D15V0R1B2LP.pdf"/>
    <hyperlink ref="C63" r:id="rId_hyperlink_124" tooltip="D15V0R1B2LP" display="D15V0R1B2LP"/>
    <hyperlink ref="B64" r:id="rId_hyperlink_125" tooltip="https://www.diodes.com/datasheet/download/ds41785.pdf" display="https://www.diodes.com/datasheet/download/ds41785.pdf"/>
    <hyperlink ref="C64" r:id="rId_hyperlink_126" tooltip="D15V0S1U2LP1608" display="D15V0S1U2LP1608"/>
    <hyperlink ref="B65" r:id="rId_hyperlink_127" tooltip="https://www.diodes.com/datasheet/download/D15V0S1U2LP1608A.pdf" display="https://www.diodes.com/datasheet/download/D15V0S1U2LP1608A.pdf"/>
    <hyperlink ref="C65" r:id="rId_hyperlink_128" tooltip="D15V0S1U2LP1608A" display="D15V0S1U2LP1608A"/>
    <hyperlink ref="B66" r:id="rId_hyperlink_129" tooltip="https://www.diodes.com/datasheet/download/D12V0S1U2LP1610_D50V0S1U2LP1610.pdf" display="https://www.diodes.com/datasheet/download/D12V0S1U2LP1610_D50V0S1U2LP1610.pdf"/>
    <hyperlink ref="C66" r:id="rId_hyperlink_130" tooltip="D15V0S1U2LP1610" display="D15V0S1U2LP1610"/>
    <hyperlink ref="B67" r:id="rId_hyperlink_131" tooltip="https://www.diodes.com/datasheet/download/D15V0S1U2LP1610Q.pdf" display="https://www.diodes.com/datasheet/download/D15V0S1U2LP1610Q.pdf"/>
    <hyperlink ref="C67" r:id="rId_hyperlink_132" tooltip="D15V0S1U2LP1610Q" display="D15V0S1U2LP1610Q"/>
    <hyperlink ref="B68" r:id="rId_hyperlink_133" tooltip="https://www.diodes.com/datasheet/download/D7V5S1U3LP20-D48V0S1U3LP20.pdf" display="https://www.diodes.com/datasheet/download/D7V5S1U3LP20-D48V0S1U3LP20.pdf"/>
    <hyperlink ref="C68" r:id="rId_hyperlink_134" tooltip="D15V0S1U3LP20" display="D15V0S1U3LP20"/>
    <hyperlink ref="B69" r:id="rId_hyperlink_135" tooltip="https://www.diodes.com/datasheet/download/D15V0X1B2LP.pdf" display="https://www.diodes.com/datasheet/download/D15V0X1B2LP.pdf"/>
    <hyperlink ref="C69" r:id="rId_hyperlink_136" tooltip="D15V0X1B2LP" display="D15V0X1B2LP"/>
    <hyperlink ref="B70" r:id="rId_hyperlink_137" tooltip="https://www.diodes.com/datasheet/download/DS43178.pdf" display="https://www.diodes.com/datasheet/download/DS43178.pdf"/>
    <hyperlink ref="C70" r:id="rId_hyperlink_138" tooltip="D15V0X1B2LP4Q" display="D15V0X1B2LP4Q"/>
    <hyperlink ref="B71" r:id="rId_hyperlink_139" tooltip="https://www.diodes.com/datasheet/download/D15V0X1B2LPQ.pdf" display="https://www.diodes.com/datasheet/download/D15V0X1B2LPQ.pdf"/>
    <hyperlink ref="C71" r:id="rId_hyperlink_140" tooltip="D15V0X1B2LPQ" display="D15V0X1B2LPQ"/>
    <hyperlink ref="B72" r:id="rId_hyperlink_141" tooltip="https://www.diodes.com/datasheet/download/D18AP2WF.pdf" display="https://www.diodes.com/datasheet/download/D18AP2WF.pdf"/>
    <hyperlink ref="C72" r:id="rId_hyperlink_142" tooltip="D18AP2WF" display="D18AP2WF"/>
    <hyperlink ref="B73" r:id="rId_hyperlink_143" tooltip="https://www.diodes.com/datasheet/download/D18V0H1U2LP.pdf" display="https://www.diodes.com/datasheet/download/D18V0H1U2LP.pdf"/>
    <hyperlink ref="C73" r:id="rId_hyperlink_144" tooltip="D18V0H1U2LP" display="D18V0H1U2LP"/>
    <hyperlink ref="B74" r:id="rId_hyperlink_145" tooltip="https://www.diodes.com/datasheet/download/D18V0L1B2LP.pdf" display="https://www.diodes.com/datasheet/download/D18V0L1B2LP.pdf"/>
    <hyperlink ref="C74" r:id="rId_hyperlink_146" tooltip="D18V0L1B2LP" display="D18V0L1B2LP"/>
    <hyperlink ref="B75" r:id="rId_hyperlink_147" tooltip="https://www.diodes.com/datasheet/download/D18V0L1B2LPQ.pdf" display="https://www.diodes.com/datasheet/download/D18V0L1B2LPQ.pdf"/>
    <hyperlink ref="C75" r:id="rId_hyperlink_148" tooltip="D18V0L1B2LPQ" display="D18V0L1B2LPQ"/>
    <hyperlink ref="B76" r:id="rId_hyperlink_149" tooltip="https://www.diodes.com/datasheet/download/D12V0S1U2LP1610_D50V0S1U2LP1610.pdf" display="https://www.diodes.com/datasheet/download/D12V0S1U2LP1610_D50V0S1U2LP1610.pdf"/>
    <hyperlink ref="C76" r:id="rId_hyperlink_150" tooltip="D18V0S1U2LP1610" display="D18V0S1U2LP1610"/>
    <hyperlink ref="B77" r:id="rId_hyperlink_151" tooltip="https://www.diodes.com/datasheet/download/D7V5S1U3LP20-D48V0S1U3LP20.pdf" display="https://www.diodes.com/datasheet/download/D7V5S1U3LP20-D48V0S1U3LP20.pdf"/>
    <hyperlink ref="C77" r:id="rId_hyperlink_152" tooltip="D18V0S1U3LP20" display="D18V0S1U3LP20"/>
    <hyperlink ref="B78" r:id="rId_hyperlink_153" tooltip="https://www.diodes.com/datasheet/download/D18V0X1B2LP.pdf" display="https://www.diodes.com/datasheet/download/D18V0X1B2LP.pdf"/>
    <hyperlink ref="C78" r:id="rId_hyperlink_154" tooltip="D18V0X1B2LP" display="D18V0X1B2LP"/>
    <hyperlink ref="B79" r:id="rId_hyperlink_155" tooltip="https://www.diodes.com/datasheet/download/DS43178.pdf" display="https://www.diodes.com/datasheet/download/DS43178.pdf"/>
    <hyperlink ref="C79" r:id="rId_hyperlink_156" tooltip="D18V0X1B2LP4Q" display="D18V0X1B2LP4Q"/>
    <hyperlink ref="B80" r:id="rId_hyperlink_157" tooltip="https://www.diodes.com/datasheet/download/D18V0X1B2LPQ.pdf" display="https://www.diodes.com/datasheet/download/D18V0X1B2LPQ.pdf"/>
    <hyperlink ref="C80" r:id="rId_hyperlink_158" tooltip="D18V0X1B2LPQ" display="D18V0X1B2LPQ"/>
    <hyperlink ref="B81" r:id="rId_hyperlink_159" tooltip="https://www.diodes.com/datasheet/download/D18V0Z1B2LPQ.pdf" display="https://www.diodes.com/datasheet/download/D18V0Z1B2LPQ.pdf"/>
    <hyperlink ref="C81" r:id="rId_hyperlink_160" tooltip="D18V0Z1B2LPQ" display="D18V0Z1B2LPQ"/>
    <hyperlink ref="B82" r:id="rId_hyperlink_161" tooltip="https://www.diodes.com/datasheet/download/D1V8L1BS2LP3.pdf" display="https://www.diodes.com/datasheet/download/D1V8L1BS2LP3.pdf"/>
    <hyperlink ref="C82" r:id="rId_hyperlink_162" tooltip="D1V8L1BS2LP3" display="D1V8L1BS2LP3"/>
    <hyperlink ref="B83" r:id="rId_hyperlink_163" tooltip="https://www.diodes.com/datasheet/download/D1V8L1BS2LP3Q.pdf" display="https://www.diodes.com/datasheet/download/D1V8L1BS2LP3Q.pdf"/>
    <hyperlink ref="C83" r:id="rId_hyperlink_164" tooltip="D1V8L1BS2LP3Q" display="D1V8L1BS2LP3Q"/>
    <hyperlink ref="B84" r:id="rId_hyperlink_165" tooltip="https://www.diodes.com/datasheet/download/D20V0H1U2LP.pdf" display="https://www.diodes.com/datasheet/download/D20V0H1U2LP.pdf"/>
    <hyperlink ref="C84" r:id="rId_hyperlink_166" tooltip="D20V0H1U2LP" display="D20V0H1U2LP"/>
    <hyperlink ref="B85" r:id="rId_hyperlink_167" tooltip="https://www.diodes.com/datasheet/download/D20V0L1B2LP.pdf" display="https://www.diodes.com/datasheet/download/D20V0L1B2LP.pdf"/>
    <hyperlink ref="C85" r:id="rId_hyperlink_168" tooltip="D20V0L1B2LP" display="D20V0L1B2LP"/>
    <hyperlink ref="B86" r:id="rId_hyperlink_169" tooltip="https://www.diodes.com/datasheet/download/D20V0L1B2LP3.pdf" display="https://www.diodes.com/datasheet/download/D20V0L1B2LP3.pdf"/>
    <hyperlink ref="C86" r:id="rId_hyperlink_170" tooltip="D20V0L1B2LP3" display="D20V0L1B2LP3"/>
    <hyperlink ref="B87" r:id="rId_hyperlink_171" tooltip="https://www.diodes.com/datasheet/download/D20V0L1B2WS.pdf" display="https://www.diodes.com/datasheet/download/D20V0L1B2WS.pdf"/>
    <hyperlink ref="C87" r:id="rId_hyperlink_172" tooltip="D20V0L1B2WS" display="D20V0L1B2WS"/>
    <hyperlink ref="B88" r:id="rId_hyperlink_173" tooltip="https://www.diodes.com/datasheet/download/D20V0L1B2WSQ.pdf" display="https://www.diodes.com/datasheet/download/D20V0L1B2WSQ.pdf"/>
    <hyperlink ref="C88" r:id="rId_hyperlink_174" tooltip="D20V0L1B2WSQ" display="D20V0L1B2WSQ"/>
    <hyperlink ref="B89" r:id="rId_hyperlink_175" tooltip="https://www.diodes.com/datasheet/download/D20V0M2U3LP4.pdf" display="https://www.diodes.com/datasheet/download/D20V0M2U3LP4.pdf"/>
    <hyperlink ref="C89" r:id="rId_hyperlink_176" tooltip="D20V0M2U3LP4" display="D20V0M2U3LP4"/>
    <hyperlink ref="B90" r:id="rId_hyperlink_177" tooltip="https://www.diodes.com/datasheet/download/D12V0S1U2LP1610_D50V0S1U2LP1610.pdf" display="https://www.diodes.com/datasheet/download/D12V0S1U2LP1610_D50V0S1U2LP1610.pdf"/>
    <hyperlink ref="C90" r:id="rId_hyperlink_178" tooltip="D20V0S1U2LP1610" display="D20V0S1U2LP1610"/>
    <hyperlink ref="B91" r:id="rId_hyperlink_179" tooltip="https://www.diodes.com/datasheet/download/D20V0S1U2LP1610Q.pdf" display="https://www.diodes.com/datasheet/download/D20V0S1U2LP1610Q.pdf"/>
    <hyperlink ref="C91" r:id="rId_hyperlink_180" tooltip="D20V0S1U2LP1610Q" display="D20V0S1U2LP1610Q"/>
    <hyperlink ref="B92" r:id="rId_hyperlink_181" tooltip="https://www.diodes.com/datasheet/download/D20V0S1U2LP20.pdf" display="https://www.diodes.com/datasheet/download/D20V0S1U2LP20.pdf"/>
    <hyperlink ref="C92" r:id="rId_hyperlink_182" tooltip="D20V0S1U2LP20" display="D20V0S1U2LP20"/>
    <hyperlink ref="B93" r:id="rId_hyperlink_183" tooltip="https://www.diodes.com/datasheet/download/D7V5S1U3LP20-D48V0S1U3LP20.pdf" display="https://www.diodes.com/datasheet/download/D7V5S1U3LP20-D48V0S1U3LP20.pdf"/>
    <hyperlink ref="C93" r:id="rId_hyperlink_184" tooltip="D20V0S1U3LP20" display="D20V0S1U3LP20"/>
    <hyperlink ref="B94" r:id="rId_hyperlink_185" tooltip="https://www.diodes.com/datasheet/download/D22V0H1U2LP.pdf" display="https://www.diodes.com/datasheet/download/D22V0H1U2LP.pdf"/>
    <hyperlink ref="C94" r:id="rId_hyperlink_186" tooltip="D22V0H1U2LP" display="D22V0H1U2LP"/>
    <hyperlink ref="B95" r:id="rId_hyperlink_187" tooltip="https://www.diodes.com/datasheet/download/D22V0H1U2LP1610.pdf" display="https://www.diodes.com/datasheet/download/D22V0H1U2LP1610.pdf"/>
    <hyperlink ref="C95" r:id="rId_hyperlink_188" tooltip="D22V0H1U2LP1610" display="D22V0H1U2LP1610"/>
    <hyperlink ref="B96" r:id="rId_hyperlink_189" tooltip="https://www.diodes.com/datasheet/download/D22V0M1U2LP.pdf" display="https://www.diodes.com/datasheet/download/D22V0M1U2LP.pdf"/>
    <hyperlink ref="C96" r:id="rId_hyperlink_190" tooltip="D22V0M1U2LP" display="D22V0M1U2LP"/>
    <hyperlink ref="B97" r:id="rId_hyperlink_191" tooltip="https://www.diodes.com/datasheet/download/D12V0S1U2LP1610_D50V0S1U2LP1610.pdf" display="https://www.diodes.com/datasheet/download/D12V0S1U2LP1610_D50V0S1U2LP1610.pdf"/>
    <hyperlink ref="C97" r:id="rId_hyperlink_192" tooltip="D22V0S1U2LP1610" display="D22V0S1U2LP1610"/>
    <hyperlink ref="B98" r:id="rId_hyperlink_193" tooltip="https://www.diodes.com/datasheet/download/D22V0S1U2LP20.pdf" display="https://www.diodes.com/datasheet/download/D22V0S1U2LP20.pdf"/>
    <hyperlink ref="C98" r:id="rId_hyperlink_194" tooltip="D22V0S1U2LP20" display="D22V0S1U2LP20"/>
    <hyperlink ref="B99" r:id="rId_hyperlink_195" tooltip="https://www.diodes.com/datasheet/download/D22V0S1U2WS.pdf" display="https://www.diodes.com/datasheet/download/D22V0S1U2WS.pdf"/>
    <hyperlink ref="C99" r:id="rId_hyperlink_196" tooltip="D22V0S1U2WS" display="D22V0S1U2WS"/>
    <hyperlink ref="B100" r:id="rId_hyperlink_197" tooltip="https://www.diodes.com/datasheet/download/D7V5S1U3LP20-D48V0S1U3LP20.pdf" display="https://www.diodes.com/datasheet/download/D7V5S1U3LP20-D48V0S1U3LP20.pdf"/>
    <hyperlink ref="C100" r:id="rId_hyperlink_198" tooltip="D22V0S1U3LP20" display="D22V0S1U3LP20"/>
    <hyperlink ref="B101" r:id="rId_hyperlink_199" tooltip="https://www.diodes.com/datasheet/download/D22V0S1U6LP2018.pdf" display="https://www.diodes.com/datasheet/download/D22V0S1U6LP2018.pdf"/>
    <hyperlink ref="C101" r:id="rId_hyperlink_200" tooltip="D22V0S1U6LP2018" display="D22V0S1U6LP2018"/>
    <hyperlink ref="B102" r:id="rId_hyperlink_201" tooltip="https://www.diodes.com/datasheet/download/D24V0F2U3WQ.pdf" display="https://www.diodes.com/datasheet/download/D24V0F2U3WQ.pdf"/>
    <hyperlink ref="C102" r:id="rId_hyperlink_202" tooltip="D24V0F2U3WQ" display="D24V0F2U3WQ"/>
    <hyperlink ref="B103" r:id="rId_hyperlink_203" tooltip="https://www.diodes.com/datasheet/download/D24V0H1U2LP.pdf" display="https://www.diodes.com/datasheet/download/D24V0H1U2LP.pdf"/>
    <hyperlink ref="C103" r:id="rId_hyperlink_204" tooltip="D24V0H1U2LP" display="D24V0H1U2LP"/>
    <hyperlink ref="B104" r:id="rId_hyperlink_205" tooltip="https://www.diodes.com/datasheet/download/D24V0H2U3SO.pdf" display="https://www.diodes.com/datasheet/download/D24V0H2U3SO.pdf"/>
    <hyperlink ref="C104" r:id="rId_hyperlink_206" tooltip="D24V0H2U3SO" display="D24V0H2U3SO"/>
    <hyperlink ref="B105" r:id="rId_hyperlink_207" tooltip="https://www.diodes.com/datasheet/download/D24V0L1B2LP.pdf" display="https://www.diodes.com/datasheet/download/D24V0L1B2LP.pdf"/>
    <hyperlink ref="C105" r:id="rId_hyperlink_208" tooltip="D24V0L1B2LP" display="D24V0L1B2LP"/>
    <hyperlink ref="B106" r:id="rId_hyperlink_209" tooltip="https://www.diodes.com/datasheet/download/D24V0L1B2LPS.pdf" display="https://www.diodes.com/datasheet/download/D24V0L1B2LPS.pdf"/>
    <hyperlink ref="C106" r:id="rId_hyperlink_210" tooltip="D24V0L1B2LPS" display="D24V0L1B2LPS"/>
    <hyperlink ref="B107" r:id="rId_hyperlink_211" tooltip="https://www.diodes.com/datasheet/download/D24V0L1B2LPSQ.pdf" display="https://www.diodes.com/datasheet/download/D24V0L1B2LPSQ.pdf"/>
    <hyperlink ref="C107" r:id="rId_hyperlink_212" tooltip="D24V0L1B2LPSQ" display="D24V0L1B2LPSQ"/>
    <hyperlink ref="B108" r:id="rId_hyperlink_213" tooltip="https://www.diodes.com/datasheet/download/D24V0LA1B2LPQ.pdf" display="https://www.diodes.com/datasheet/download/D24V0LA1B2LPQ.pdf"/>
    <hyperlink ref="C108" r:id="rId_hyperlink_214" tooltip="D24V0LA1B2LPQ" display="D24V0LA1B2LPQ"/>
    <hyperlink ref="B109" r:id="rId_hyperlink_215" tooltip="https://www.diodes.com/datasheet/download/D24V0P1BS2TQ.pdf" display="https://www.diodes.com/datasheet/download/D24V0P1BS2TQ.pdf"/>
    <hyperlink ref="C109" r:id="rId_hyperlink_216" tooltip="D24V0P1BS2TQ" display="D24V0P1BS2TQ"/>
    <hyperlink ref="B110" r:id="rId_hyperlink_217" tooltip="https://www.diodes.com/datasheet/download/D24V0S1B2TQ.pdf" display="https://www.diodes.com/datasheet/download/D24V0S1B2TQ.pdf"/>
    <hyperlink ref="C110" r:id="rId_hyperlink_218" tooltip="D24V0S1B2TQ" display="D24V0S1B2TQ"/>
    <hyperlink ref="B111" r:id="rId_hyperlink_219" tooltip="https://www.diodes.com/datasheet/download/D12V0S1U2LP1610_D50V0S1U2LP1610.pdf" display="https://www.diodes.com/datasheet/download/D12V0S1U2LP1610_D50V0S1U2LP1610.pdf"/>
    <hyperlink ref="C111" r:id="rId_hyperlink_220" tooltip="D24V0S1U2LP1610" display="D24V0S1U2LP1610"/>
    <hyperlink ref="B112" r:id="rId_hyperlink_221" tooltip="https://www.diodes.com/datasheet/download/D24V0S1U2LP1610Q.pdf" display="https://www.diodes.com/datasheet/download/D24V0S1U2LP1610Q.pdf"/>
    <hyperlink ref="C112" r:id="rId_hyperlink_222" tooltip="D24V0S1U2LP1610Q" display="D24V0S1U2LP1610Q"/>
    <hyperlink ref="B113" r:id="rId_hyperlink_223" tooltip="https://www.diodes.com/datasheet/download/D24V0S1U2T.pdf" display="https://www.diodes.com/datasheet/download/D24V0S1U2T.pdf"/>
    <hyperlink ref="C113" r:id="rId_hyperlink_224" tooltip="D24V0S1U2T" display="D24V0S1U2T"/>
    <hyperlink ref="B114" r:id="rId_hyperlink_225" tooltip="https://www.diodes.com/datasheet/download/D24V0S1U2TQ.pdf" display="https://www.diodes.com/datasheet/download/D24V0S1U2TQ.pdf"/>
    <hyperlink ref="C114" r:id="rId_hyperlink_226" tooltip="D24V0S1U2TQ" display="D24V0S1U2TQ"/>
    <hyperlink ref="B115" r:id="rId_hyperlink_227" tooltip="https://www.diodes.com/datasheet/download/D7V5S1U3LP20-D48V0S1U3LP20.pdf" display="https://www.diodes.com/datasheet/download/D7V5S1U3LP20-D48V0S1U3LP20.pdf"/>
    <hyperlink ref="C115" r:id="rId_hyperlink_228" tooltip="D24V0S1U3LP20" display="D24V0S1U3LP20"/>
    <hyperlink ref="B116" r:id="rId_hyperlink_229" tooltip="https://www.diodes.com/datasheet/download/D24V0S1UG3LP20.pdf" display="https://www.diodes.com/datasheet/download/D24V0S1UG3LP20.pdf"/>
    <hyperlink ref="C116" r:id="rId_hyperlink_230" tooltip="D24V0S1UG3LP20" display="D24V0S1UG3LP20"/>
    <hyperlink ref="B117" r:id="rId_hyperlink_231" tooltip="https://www.diodes.com/datasheet/download/D24V0X1B2LP.pdf" display="https://www.diodes.com/datasheet/download/D24V0X1B2LP.pdf"/>
    <hyperlink ref="C117" r:id="rId_hyperlink_232" tooltip="D24V0X1B2LP" display="D24V0X1B2LP"/>
    <hyperlink ref="B118" r:id="rId_hyperlink_233" tooltip="https://www.diodes.com/datasheet/download/D24V0X1B2LP4Q.pdf" display="https://www.diodes.com/datasheet/download/D24V0X1B2LP4Q.pdf"/>
    <hyperlink ref="C118" r:id="rId_hyperlink_234" tooltip="D24V0X1B2LP4Q" display="D24V0X1B2LP4Q"/>
    <hyperlink ref="B119" r:id="rId_hyperlink_235" tooltip="https://www.diodes.com/datasheet/download/D24V0X1B2LPQ.pdf" display="https://www.diodes.com/datasheet/download/D24V0X1B2LPQ.pdf"/>
    <hyperlink ref="C119" r:id="rId_hyperlink_236" tooltip="D24V0X1B2LPQ" display="D24V0X1B2LPQ"/>
    <hyperlink ref="B120" r:id="rId_hyperlink_237" tooltip="https://www.diodes.com/datasheet/download/D26V0H1U2LP16.pdf" display="https://www.diodes.com/datasheet/download/D26V0H1U2LP16.pdf"/>
    <hyperlink ref="C120" r:id="rId_hyperlink_238" tooltip="D26V0H1U2LP16" display="D26V0H1U2LP16"/>
    <hyperlink ref="B121" r:id="rId_hyperlink_239" tooltip="https://www.diodes.com/datasheet/download/D26V0H1U2LP20.pdf" display="https://www.diodes.com/datasheet/download/D26V0H1U2LP20.pdf"/>
    <hyperlink ref="C121" r:id="rId_hyperlink_240" tooltip="D26V0H1U2LP20" display="D26V0H1U2LP20"/>
    <hyperlink ref="B122" r:id="rId_hyperlink_241" tooltip="https://www.diodes.com/datasheet/download/D26V0S1U2LP20.pdf" display="https://www.diodes.com/datasheet/download/D26V0S1U2LP20.pdf"/>
    <hyperlink ref="C122" r:id="rId_hyperlink_242" tooltip="D26V0S1U2LP20" display="D26V0S1U2LP20"/>
    <hyperlink ref="B123" r:id="rId_hyperlink_243" tooltip="https://www.diodes.com/datasheet/download/D7V5S1U3LP20-D48V0S1U3LP20.pdf" display="https://www.diodes.com/datasheet/download/D7V5S1U3LP20-D48V0S1U3LP20.pdf"/>
    <hyperlink ref="C123" r:id="rId_hyperlink_244" tooltip="D26V0S1U3LP20" display="D26V0S1U3LP20"/>
    <hyperlink ref="B124" r:id="rId_hyperlink_245" tooltip="https://www.diodes.com/datasheet/download/D28V0H1U2P5Q.pdf" display="https://www.diodes.com/datasheet/download/D28V0H1U2P5Q.pdf"/>
    <hyperlink ref="C124" r:id="rId_hyperlink_246" tooltip="D28V0H1U2P5Q" display="D28V0H1U2P5Q"/>
    <hyperlink ref="B125" r:id="rId_hyperlink_247" tooltip="https://www.diodes.com/datasheet/download/D12V0S1U2LP1610_D50V0S1U2LP1610.pdf" display="https://www.diodes.com/datasheet/download/D12V0S1U2LP1610_D50V0S1U2LP1610.pdf"/>
    <hyperlink ref="C125" r:id="rId_hyperlink_248" tooltip="D28V0S1U2LP1610" display="D28V0S1U2LP1610"/>
    <hyperlink ref="B126" r:id="rId_hyperlink_249" tooltip="https://www.diodes.com/datasheet/download/D28V0S1U3LP20.pdf" display="https://www.diodes.com/datasheet/download/D28V0S1U3LP20.pdf"/>
    <hyperlink ref="C126" r:id="rId_hyperlink_250" tooltip="D28V0S1U3LP20" display="D28V0S1U3LP20"/>
    <hyperlink ref="B127" r:id="rId_hyperlink_251" tooltip="https://www.diodes.com/datasheet/download/D2V5F4U8MR.pdf" display="https://www.diodes.com/datasheet/download/D2V5F4U8MR.pdf"/>
    <hyperlink ref="C127" r:id="rId_hyperlink_252" tooltip="D2V5F4U8MR" display="D2V5F4U8MR"/>
    <hyperlink ref="B128" r:id="rId_hyperlink_253" tooltip="https://www.diodes.com/datasheet/download/D2V5H1BS2LP.pdf" display="https://www.diodes.com/datasheet/download/D2V5H1BS2LP.pdf"/>
    <hyperlink ref="C128" r:id="rId_hyperlink_254" tooltip="D2V5H1BS2LP" display="D2V5H1BS2LP"/>
    <hyperlink ref="B129" r:id="rId_hyperlink_255" tooltip="https://www.diodes.com/datasheet/download/D2V5H1BS2LP4.pdf" display="https://www.diodes.com/datasheet/download/D2V5H1BS2LP4.pdf"/>
    <hyperlink ref="C129" r:id="rId_hyperlink_256" tooltip="D2V5H1BS2LP4" display="D2V5H1BS2LP4"/>
    <hyperlink ref="B130" r:id="rId_hyperlink_257" tooltip="https://www.diodes.com/datasheet/download/D2V5L1BS2LP.pdf" display="https://www.diodes.com/datasheet/download/D2V5L1BS2LP.pdf"/>
    <hyperlink ref="C130" r:id="rId_hyperlink_258" tooltip="D2V5L1BS2LP" display="D2V5L1BS2LP"/>
    <hyperlink ref="B131" r:id="rId_hyperlink_259" tooltip="https://www.diodes.com/datasheet/download/D2V5L1BS2LP3.pdf" display="https://www.diodes.com/datasheet/download/D2V5L1BS2LP3.pdf"/>
    <hyperlink ref="C131" r:id="rId_hyperlink_260" tooltip="D2V5L1BS2LP3" display="D2V5L1BS2LP3"/>
    <hyperlink ref="B132" r:id="rId_hyperlink_261" tooltip="https://www.diodes.com/datasheet/download/D2V5L1BS2LP3Q.pdf" display="https://www.diodes.com/datasheet/download/D2V5L1BS2LP3Q.pdf"/>
    <hyperlink ref="C132" r:id="rId_hyperlink_262" tooltip="D2V5L1BS2LP3Q" display="D2V5L1BS2LP3Q"/>
    <hyperlink ref="B133" r:id="rId_hyperlink_263" tooltip="https://www.diodes.com/datasheet/download/D2V5L1BS2LP4.pdf" display="https://www.diodes.com/datasheet/download/D2V5L1BS2LP4.pdf"/>
    <hyperlink ref="C133" r:id="rId_hyperlink_264" tooltip="D2V5L1BS2LP4" display="D2V5L1BS2LP4"/>
    <hyperlink ref="B134" r:id="rId_hyperlink_265" tooltip="https://www.diodes.com/datasheet/download/D2V5L4U8MR.pdf" display="https://www.diodes.com/datasheet/download/D2V5L4U8MR.pdf"/>
    <hyperlink ref="C134" r:id="rId_hyperlink_266" tooltip="D2V5L4U8MR" display="D2V5L4U8MR"/>
    <hyperlink ref="B135" r:id="rId_hyperlink_267" tooltip="https://www.diodes.com/datasheet/download/D2V8F4U8MR.pdf" display="https://www.diodes.com/datasheet/download/D2V8F4U8MR.pdf"/>
    <hyperlink ref="C135" r:id="rId_hyperlink_268" tooltip="D2V8F4U8MR" display="D2V8F4U8MR"/>
    <hyperlink ref="B136" r:id="rId_hyperlink_269" tooltip="https://www.diodes.com/datasheet/download/D7V5S1U3LP20-D48V0S1U3LP20.pdf" display="https://www.diodes.com/datasheet/download/D7V5S1U3LP20-D48V0S1U3LP20.pdf"/>
    <hyperlink ref="C136" r:id="rId_hyperlink_270" tooltip="D30V0S1U3LP20" display="D30V0S1U3LP20"/>
    <hyperlink ref="B137" r:id="rId_hyperlink_271" tooltip="https://www.diodes.com/datasheet/download/D30V0S1UG3LP20.pdf" display="https://www.diodes.com/datasheet/download/D30V0S1UG3LP20.pdf"/>
    <hyperlink ref="C137" r:id="rId_hyperlink_272" tooltip="D30V0S1UG3LP20" display="D30V0S1UG3LP20"/>
    <hyperlink ref="B138" r:id="rId_hyperlink_273" tooltip="https://www.diodes.com/datasheet/download/ds41785.pdf" display="https://www.diodes.com/datasheet/download/ds41785.pdf"/>
    <hyperlink ref="C138" r:id="rId_hyperlink_274" tooltip="D33V0S1U2LP1608" display="D33V0S1U2LP1608"/>
    <hyperlink ref="B139" r:id="rId_hyperlink_275" tooltip="https://www.diodes.com/datasheet/download/D12V0S1U2LP1610_D50V0S1U2LP1610.pdf" display="https://www.diodes.com/datasheet/download/D12V0S1U2LP1610_D50V0S1U2LP1610.pdf"/>
    <hyperlink ref="C139" r:id="rId_hyperlink_276" tooltip="D33V0S1U2LP1610" display="D33V0S1U2LP1610"/>
    <hyperlink ref="B140" r:id="rId_hyperlink_277" tooltip="https://www.diodes.com/datasheet/download/D33V0S1UG3LP20.pdf" display="https://www.diodes.com/datasheet/download/D33V0S1UG3LP20.pdf"/>
    <hyperlink ref="C140" r:id="rId_hyperlink_278" tooltip="D33V0S1UG3LP20" display="D33V0S1UG3LP20"/>
    <hyperlink ref="B141" r:id="rId_hyperlink_279" tooltip="https://www.diodes.com/datasheet/download/D34V0H1U2LP.pdf" display="https://www.diodes.com/datasheet/download/D34V0H1U2LP.pdf"/>
    <hyperlink ref="C141" r:id="rId_hyperlink_280" tooltip="D34V0H1U2LP" display="D34V0H1U2LP"/>
    <hyperlink ref="B142" r:id="rId_hyperlink_281" tooltip="https://www.diodes.com/datasheet/download/D36V0L1B2LP.pdf" display="https://www.diodes.com/datasheet/download/D36V0L1B2LP.pdf"/>
    <hyperlink ref="C142" r:id="rId_hyperlink_282" tooltip="D36V0L1B2LP" display="D36V0L1B2LP"/>
    <hyperlink ref="B143" r:id="rId_hyperlink_283" tooltip="https://www.diodes.com/datasheet/download/D36V0L1B2LPQ.pdf" display="https://www.diodes.com/datasheet/download/D36V0L1B2LPQ.pdf"/>
    <hyperlink ref="C143" r:id="rId_hyperlink_284" tooltip="D36V0L1B2LPQ" display="D36V0L1B2LPQ"/>
    <hyperlink ref="B144" r:id="rId_hyperlink_285" tooltip="https://www.diodes.com/datasheet/download/D12V0S1U2LP1610_D50V0S1U2LP1610.pdf" display="https://www.diodes.com/datasheet/download/D12V0S1U2LP1610_D50V0S1U2LP1610.pdf"/>
    <hyperlink ref="C144" r:id="rId_hyperlink_286" tooltip="D36V0S1U2LP1610" display="D36V0S1U2LP1610"/>
    <hyperlink ref="B145" r:id="rId_hyperlink_287" tooltip="https://www.diodes.com/datasheet/download/D36V0S1U2LP1610Q.pdf" display="https://www.diodes.com/datasheet/download/D36V0S1U2LP1610Q.pdf"/>
    <hyperlink ref="C145" r:id="rId_hyperlink_288" tooltip="D36V0S1U2LP1610Q" display="D36V0S1U2LP1610Q"/>
    <hyperlink ref="B146" r:id="rId_hyperlink_289" tooltip="https://www.diodes.com/datasheet/download/D7V5S1U3LP20-D48V0S1U3LP20.pdf" display="https://www.diodes.com/datasheet/download/D7V5S1U3LP20-D48V0S1U3LP20.pdf"/>
    <hyperlink ref="C146" r:id="rId_hyperlink_290" tooltip="D36V0S1U3LP20" display="D36V0S1U3LP20"/>
    <hyperlink ref="B147" r:id="rId_hyperlink_291" tooltip="https://www.diodes.com/datasheet/download/D3V3AP2WF.pdf" display="https://www.diodes.com/datasheet/download/D3V3AP2WF.pdf"/>
    <hyperlink ref="C147" r:id="rId_hyperlink_292" tooltip="D3V3AP2WF" display="D3V3AP2WF"/>
    <hyperlink ref="B148" r:id="rId_hyperlink_293" tooltip="https://www.diodes.com/datasheet/download/D3V3F2UD3LP.pdf" display="https://www.diodes.com/datasheet/download/D3V3F2UD3LP.pdf"/>
    <hyperlink ref="C148" r:id="rId_hyperlink_294" tooltip="D3V3F2UD3LP" display="D3V3F2UD3LP"/>
    <hyperlink ref="B149" r:id="rId_hyperlink_295" tooltip="https://www.diodes.com/datasheet/download/D3V3F4U10LP.pdf" display="https://www.diodes.com/datasheet/download/D3V3F4U10LP.pdf"/>
    <hyperlink ref="C149" r:id="rId_hyperlink_296" tooltip="D3V3F4U10LP" display="D3V3F4U10LP"/>
    <hyperlink ref="B150" r:id="rId_hyperlink_297" tooltip="https://www.diodes.com/datasheet/download/D3V3F4U10LPQ.pdf" display="https://www.diodes.com/datasheet/download/D3V3F4U10LPQ.pdf"/>
    <hyperlink ref="C150" r:id="rId_hyperlink_298" tooltip="D3V3F4U10LPQ" display="D3V3F4U10LPQ"/>
    <hyperlink ref="B151" r:id="rId_hyperlink_299" tooltip="https://www.diodes.com/datasheet/download/D3V3F4U6S.pdf" display="https://www.diodes.com/datasheet/download/D3V3F4U6S.pdf"/>
    <hyperlink ref="C151" r:id="rId_hyperlink_300" tooltip="D3V3F4U6S" display="D3V3F4U6S"/>
    <hyperlink ref="B152" r:id="rId_hyperlink_301" tooltip="https://www.diodes.com/datasheet/download/D3V3F4U8MR.pdf" display="https://www.diodes.com/datasheet/download/D3V3F4U8MR.pdf"/>
    <hyperlink ref="C152" r:id="rId_hyperlink_302" tooltip="D3V3F4U8MR" display="D3V3F4U8MR"/>
    <hyperlink ref="B153" r:id="rId_hyperlink_303" tooltip="https://www.diodes.com/datasheet/download/D3V3F8U9LP3810.pdf" display="https://www.diodes.com/datasheet/download/D3V3F8U9LP3810.pdf"/>
    <hyperlink ref="C153" r:id="rId_hyperlink_304" tooltip="D3V3F8U9LP3810" display="D3V3F8U9LP3810"/>
    <hyperlink ref="B154" r:id="rId_hyperlink_305" tooltip="https://www.diodes.com/datasheet/download/D3V3FA4U10LP.pdf" display="https://www.diodes.com/datasheet/download/D3V3FA4U10LP.pdf"/>
    <hyperlink ref="C154" r:id="rId_hyperlink_306" tooltip="D3V3FA4U10LP" display="D3V3FA4U10LP"/>
    <hyperlink ref="B155" r:id="rId_hyperlink_307" tooltip="https://www.diodes.com/datasheet/download/D3V3H1B2LP.pdf" display="https://www.diodes.com/datasheet/download/D3V3H1B2LP.pdf"/>
    <hyperlink ref="C155" r:id="rId_hyperlink_308" tooltip="D3V3H1B2LP" display="D3V3H1B2LP"/>
    <hyperlink ref="B156" r:id="rId_hyperlink_309" tooltip="https://www.diodes.com/datasheet/download/D3V3H1B2LPQ.pdf" display="https://www.diodes.com/datasheet/download/D3V3H1B2LPQ.pdf"/>
    <hyperlink ref="C156" r:id="rId_hyperlink_310" tooltip="D3V3H1B2LPQ" display="D3V3H1B2LPQ"/>
    <hyperlink ref="B157" r:id="rId_hyperlink_311" tooltip="https://www.diodes.com/datasheet/download/D3V3H1U2LP.pdf" display="https://www.diodes.com/datasheet/download/D3V3H1U2LP.pdf"/>
    <hyperlink ref="C157" r:id="rId_hyperlink_312" tooltip="D3V3H1U2LP" display="D3V3H1U2LP"/>
    <hyperlink ref="B158" r:id="rId_hyperlink_313" tooltip="https://www.diodes.com/datasheet/download/D3V3H1U2LPQ.pdf" display="https://www.diodes.com/datasheet/download/D3V3H1U2LPQ.pdf"/>
    <hyperlink ref="C158" r:id="rId_hyperlink_314" tooltip="D3V3H1U2LPQ" display="D3V3H1U2LPQ"/>
    <hyperlink ref="B159" r:id="rId_hyperlink_315" tooltip="https://www.diodes.com/datasheet/download/D3V3HN1B2LP.pdf" display="https://www.diodes.com/datasheet/download/D3V3HN1B2LP.pdf"/>
    <hyperlink ref="C159" r:id="rId_hyperlink_316" tooltip="D3V3HN1B2LP" display="D3V3HN1B2LP"/>
    <hyperlink ref="B160" r:id="rId_hyperlink_317" tooltip="https://www.diodes.com/datasheet/download/D3V3L1B2LP3.pdf" display="https://www.diodes.com/datasheet/download/D3V3L1B2LP3.pdf"/>
    <hyperlink ref="C160" r:id="rId_hyperlink_318" tooltip="D3V3L1B2LP3" display="D3V3L1B2LP3"/>
    <hyperlink ref="B161" r:id="rId_hyperlink_319" tooltip="https://www.diodes.com/datasheet/download/D3V3L1B2LP3Q.pdf" display="https://www.diodes.com/datasheet/download/D3V3L1B2LP3Q.pdf"/>
    <hyperlink ref="C161" r:id="rId_hyperlink_320" tooltip="D3V3L1B2LP3Q" display="D3V3L1B2LP3Q"/>
    <hyperlink ref="B162" r:id="rId_hyperlink_321" tooltip="https://www.diodes.com/datasheet/download/D3V3L1B2T.pdf" display="https://www.diodes.com/datasheet/download/D3V3L1B2T.pdf"/>
    <hyperlink ref="C162" r:id="rId_hyperlink_322" tooltip="D3V3L1B2T" display="D3V3L1B2T"/>
    <hyperlink ref="B163" r:id="rId_hyperlink_323" tooltip="https://www.diodes.com/datasheet/download/D3V3L1B2WS.pdf" display="https://www.diodes.com/datasheet/download/D3V3L1B2WS.pdf"/>
    <hyperlink ref="C163" r:id="rId_hyperlink_324" tooltip="D3V3L1B2WS" display="D3V3L1B2WS"/>
    <hyperlink ref="B164" r:id="rId_hyperlink_325" tooltip="https://www.diodes.com/datasheet/download/D3V3L2B3LP10.pdf" display="https://www.diodes.com/datasheet/download/D3V3L2B3LP10.pdf"/>
    <hyperlink ref="C164" r:id="rId_hyperlink_326" tooltip="D3V3L2B3LP10" display="D3V3L2B3LP10"/>
    <hyperlink ref="B165" r:id="rId_hyperlink_327" tooltip="https://www.diodes.com/datasheet/download/D3V3L2BS3LP.pdf" display="https://www.diodes.com/datasheet/download/D3V3L2BS3LP.pdf"/>
    <hyperlink ref="C165" r:id="rId_hyperlink_328" tooltip="D3V3L2BS3LP" display="D3V3L2BS3LP"/>
    <hyperlink ref="B166" r:id="rId_hyperlink_329" tooltip="https://www.diodes.com/datasheet/download/D3V3L2BS3LPQ.pdf" display="https://www.diodes.com/datasheet/download/D3V3L2BS3LPQ.pdf"/>
    <hyperlink ref="C166" r:id="rId_hyperlink_330" tooltip="D3V3L2BS3LPQ" display="D3V3L2BS3LPQ"/>
    <hyperlink ref="B167" r:id="rId_hyperlink_331" tooltip="https://www.diodes.com/datasheet/download/D3V3L4BS4LP1308.pdf" display="https://www.diodes.com/datasheet/download/D3V3L4BS4LP1308.pdf"/>
    <hyperlink ref="C167" r:id="rId_hyperlink_332" tooltip="D3V3L4BS4LP1308" display="D3V3L4BS4LP1308"/>
    <hyperlink ref="B168" r:id="rId_hyperlink_333" tooltip="https://www.diodes.com/datasheet/download/D3V3L4U8MR.pdf" display="https://www.diodes.com/datasheet/download/D3V3L4U8MR.pdf"/>
    <hyperlink ref="C168" r:id="rId_hyperlink_334" tooltip="D3V3L4U8MR" display="D3V3L4U8MR"/>
    <hyperlink ref="B169" r:id="rId_hyperlink_335" tooltip="https://www.diodes.com/datasheet/download/D3V3M1U2LP3.pdf" display="https://www.diodes.com/datasheet/download/D3V3M1U2LP3.pdf"/>
    <hyperlink ref="C169" r:id="rId_hyperlink_336" tooltip="D3V3M1U2LP3" display="D3V3M1U2LP3"/>
    <hyperlink ref="B170" r:id="rId_hyperlink_337" tooltip="https://www.diodes.com/datasheet/download/D3V3M1U2S9.pdf" display="https://www.diodes.com/datasheet/download/D3V3M1U2S9.pdf"/>
    <hyperlink ref="C170" r:id="rId_hyperlink_338" tooltip="D3V3M1U2S9" display="D3V3M1U2S9"/>
    <hyperlink ref="B171" r:id="rId_hyperlink_339" tooltip="https://www.diodes.com/datasheet/download/D3V3M1U2S9Q.pdf" display="https://www.diodes.com/datasheet/download/D3V3M1U2S9Q.pdf"/>
    <hyperlink ref="C171" r:id="rId_hyperlink_340" tooltip="D3V3M1U2S9Q" display="D3V3M1U2S9Q"/>
    <hyperlink ref="B172" r:id="rId_hyperlink_341" tooltip="https://www.diodes.com/datasheet/download/D3V3M2B3SO.pdf" display="https://www.diodes.com/datasheet/download/D3V3M2B3SO.pdf"/>
    <hyperlink ref="C172" r:id="rId_hyperlink_342" tooltip="D3V3M2B3SO" display="D3V3M2B3SO"/>
    <hyperlink ref="B173" r:id="rId_hyperlink_343" tooltip="https://www.diodes.com/datasheet/download/D3V3P4U10LP26.pdf" display="https://www.diodes.com/datasheet/download/D3V3P4U10LP26.pdf"/>
    <hyperlink ref="C173" r:id="rId_hyperlink_344" tooltip="D3V3P4U10LP26" display="D3V3P4U10LP26"/>
    <hyperlink ref="B174" r:id="rId_hyperlink_345" tooltip="https://www.diodes.com/datasheet/download/D3V3Q1B2LP3.pdf" display="https://www.diodes.com/datasheet/download/D3V3Q1B2LP3.pdf"/>
    <hyperlink ref="C174" r:id="rId_hyperlink_346" tooltip="D3V3Q1B2LP3" display="D3V3Q1B2LP3"/>
    <hyperlink ref="B175" r:id="rId_hyperlink_347" tooltip="https://www.diodes.com/datasheet/download/D3V3S1B2LP.pdf" display="https://www.diodes.com/datasheet/download/D3V3S1B2LP.pdf"/>
    <hyperlink ref="C175" r:id="rId_hyperlink_348" tooltip="D3V3S1B2LP" display="D3V3S1B2LP"/>
    <hyperlink ref="B176" r:id="rId_hyperlink_349" tooltip="https://www.diodes.com/datasheet/download/D3V3S1U2LP1610.pdf" display="https://www.diodes.com/datasheet/download/D3V3S1U2LP1610.pdf"/>
    <hyperlink ref="C176" r:id="rId_hyperlink_350" tooltip="D3V3S1U2LP1610" display="D3V3S1U2LP1610"/>
    <hyperlink ref="B177" r:id="rId_hyperlink_351" tooltip="https://www.diodes.com/datasheet/download/D3V3S1U2LP1610Q.pdf" display="https://www.diodes.com/datasheet/download/D3V3S1U2LP1610Q.pdf"/>
    <hyperlink ref="C177" r:id="rId_hyperlink_352" tooltip="D3V3S1U2LP1610Q" display="D3V3S1U2LP1610Q"/>
    <hyperlink ref="B178" r:id="rId_hyperlink_353" tooltip="https://www.diodes.com/datasheet/download/D3V3X4U10LP.pdf" display="https://www.diodes.com/datasheet/download/D3V3X4U10LP.pdf"/>
    <hyperlink ref="C178" r:id="rId_hyperlink_354" tooltip="D3V3X4U10LP" display="D3V3X4U10LP"/>
    <hyperlink ref="B179" r:id="rId_hyperlink_355" tooltip="https://www.diodes.com/datasheet/download/D3V3X4U10LPQ.pdf" display="https://www.diodes.com/datasheet/download/D3V3X4U10LPQ.pdf"/>
    <hyperlink ref="C179" r:id="rId_hyperlink_356" tooltip="D3V3X4U10LPQ" display="D3V3X4U10LPQ"/>
    <hyperlink ref="B180" r:id="rId_hyperlink_357" tooltip="https://www.diodes.com/datasheet/download/D3V3X8U9LP3810.pdf" display="https://www.diodes.com/datasheet/download/D3V3X8U9LP3810.pdf"/>
    <hyperlink ref="C180" r:id="rId_hyperlink_358" tooltip="D3V3X8U9LP3810" display="D3V3X8U9LP3810"/>
    <hyperlink ref="B181" r:id="rId_hyperlink_359" tooltip="https://www.diodes.com/datasheet/download/D3V3XA4B10LP.pdf" display="https://www.diodes.com/datasheet/download/D3V3XA4B10LP.pdf"/>
    <hyperlink ref="C181" r:id="rId_hyperlink_360" tooltip="D3V3XA4B10LP" display="D3V3XA4B10LP"/>
    <hyperlink ref="B182" r:id="rId_hyperlink_361" tooltip="https://www.diodes.com/datasheet/download/D3V3XS4B10LP.pdf" display="https://www.diodes.com/datasheet/download/D3V3XS4B10LP.pdf"/>
    <hyperlink ref="C182" r:id="rId_hyperlink_362" tooltip="D3V3XS4B10LP" display="D3V3XS4B10LP"/>
    <hyperlink ref="B183" r:id="rId_hyperlink_363" tooltip="https://www.diodes.com/datasheet/download/D3V3Z1B2LP.pdf" display="https://www.diodes.com/datasheet/download/D3V3Z1B2LP.pdf"/>
    <hyperlink ref="C183" r:id="rId_hyperlink_364" tooltip="D3V3Z1B2LP" display="D3V3Z1B2LP"/>
    <hyperlink ref="B184" r:id="rId_hyperlink_365" tooltip="https://www.diodes.com/datasheet/download/D3V3Z1B2LP3.pdf" display="https://www.diodes.com/datasheet/download/D3V3Z1B2LP3.pdf"/>
    <hyperlink ref="C184" r:id="rId_hyperlink_366" tooltip="D3V3Z1B2LP3" display="D3V3Z1B2LP3"/>
    <hyperlink ref="B185" r:id="rId_hyperlink_367" tooltip="https://www.diodes.com/datasheet/download/D3V3Z1B2LPQ.pdf" display="https://www.diodes.com/datasheet/download/D3V3Z1B2LPQ.pdf"/>
    <hyperlink ref="C185" r:id="rId_hyperlink_368" tooltip="D3V3Z1B2LPQ" display="D3V3Z1B2LPQ"/>
    <hyperlink ref="B186" r:id="rId_hyperlink_369" tooltip="https://www.diodes.com/datasheet/download/D3V3Z1B2LPSQ.pdf" display="https://www.diodes.com/datasheet/download/D3V3Z1B2LPSQ.pdf"/>
    <hyperlink ref="C186" r:id="rId_hyperlink_370" tooltip="D3V3Z1B2LPSQ" display="D3V3Z1B2LPSQ"/>
    <hyperlink ref="B187" r:id="rId_hyperlink_371" tooltip="https://www.diodes.com/datasheet/download/D3V3Z1BD2CSP.pdf" display="https://www.diodes.com/datasheet/download/D3V3Z1BD2CSP.pdf"/>
    <hyperlink ref="C187" r:id="rId_hyperlink_372" tooltip="D3V3Z1BD2CSP" display="D3V3Z1BD2CSP"/>
    <hyperlink ref="B188" r:id="rId_hyperlink_373" tooltip="https://www.diodes.com/datasheet/download/D3V3Z1BD2CSPQ.pdf" display="https://www.diodes.com/datasheet/download/D3V3Z1BD2CSPQ.pdf"/>
    <hyperlink ref="C188" r:id="rId_hyperlink_374" tooltip="D3V3Z1BD2CSPQ" display="D3V3Z1BD2CSPQ"/>
    <hyperlink ref="B189" r:id="rId_hyperlink_375" tooltip="https://www.diodes.com/datasheet/download/D3V3Z4BD10LPQ.pdf" display="https://www.diodes.com/datasheet/download/D3V3Z4BD10LPQ.pdf"/>
    <hyperlink ref="C189" r:id="rId_hyperlink_376" tooltip="D3V3Z4BD10LPQ" display="D3V3Z4BD10LPQ"/>
    <hyperlink ref="B190" r:id="rId_hyperlink_377" tooltip="https://www.diodes.com/datasheet/download/D3V3ZF1BD2CSP.pdf" display="https://www.diodes.com/datasheet/download/D3V3ZF1BD2CSP.pdf"/>
    <hyperlink ref="C190" r:id="rId_hyperlink_378" tooltip="D3V3ZF1BD2CSP" display="D3V3ZF1BD2CSP"/>
    <hyperlink ref="B191" r:id="rId_hyperlink_379" tooltip="https://www.diodes.com/datasheet/download/ds41785.pdf" display="https://www.diodes.com/datasheet/download/ds41785.pdf"/>
    <hyperlink ref="C191" r:id="rId_hyperlink_380" tooltip="D40V0S1U2LP1608" display="D40V0S1U2LP1608"/>
    <hyperlink ref="B192" r:id="rId_hyperlink_381" tooltip="https://www.diodes.com/datasheet/download/D40V0S1U2LP1608Q.pdf" display="https://www.diodes.com/datasheet/download/D40V0S1U2LP1608Q.pdf"/>
    <hyperlink ref="C192" r:id="rId_hyperlink_382" tooltip="D40V0S1U2LP1608Q" display="D40V0S1U2LP1608Q"/>
    <hyperlink ref="B193" r:id="rId_hyperlink_383" tooltip="https://www.diodes.com/datasheet/download/D12V0S1U2LP1610_D50V0S1U2LP1610.pdf" display="https://www.diodes.com/datasheet/download/D12V0S1U2LP1610_D50V0S1U2LP1610.pdf"/>
    <hyperlink ref="C193" r:id="rId_hyperlink_384" tooltip="D40V0S1U2LP1610" display="D40V0S1U2LP1610"/>
    <hyperlink ref="B194" r:id="rId_hyperlink_385" tooltip="https://www.diodes.com/datasheet/download/D12V0S1U2LP1610_D50V0S1U2LP1610.pdf" display="https://www.diodes.com/datasheet/download/D12V0S1U2LP1610_D50V0S1U2LP1610.pdf"/>
    <hyperlink ref="C194" r:id="rId_hyperlink_386" tooltip="D48V0S1U2LP1610" display="D48V0S1U2LP1610"/>
    <hyperlink ref="B195" r:id="rId_hyperlink_387" tooltip="https://www.diodes.com/datasheet/download/D7V5S1U3LP20-D48V0S1U3LP20.pdf" display="https://www.diodes.com/datasheet/download/D7V5S1U3LP20-D48V0S1U3LP20.pdf"/>
    <hyperlink ref="C195" r:id="rId_hyperlink_388" tooltip="D48V0S1U3LP20" display="D48V0S1U3LP20"/>
    <hyperlink ref="B196" r:id="rId_hyperlink_389" tooltip="https://www.diodes.com/datasheet/download/D4V5H1BS2LP.pdf" display="https://www.diodes.com/datasheet/download/D4V5H1BS2LP.pdf"/>
    <hyperlink ref="C196" r:id="rId_hyperlink_390" tooltip="D4V5H1BS2LP" display="D4V5H1BS2LP"/>
    <hyperlink ref="B197" r:id="rId_hyperlink_391" tooltip="https://www.diodes.com/datasheet/download/D4V5H1BS2LP4.pdf" display="https://www.diodes.com/datasheet/download/D4V5H1BS2LP4.pdf"/>
    <hyperlink ref="C197" r:id="rId_hyperlink_392" tooltip="D4V5H1BS2LP4" display="D4V5H1BS2LP4"/>
    <hyperlink ref="B198" r:id="rId_hyperlink_393" tooltip="https://www.diodes.com/datasheet/download/D4V5H1U2LP1610.pdf" display="https://www.diodes.com/datasheet/download/D4V5H1U2LP1610.pdf"/>
    <hyperlink ref="C198" r:id="rId_hyperlink_394" tooltip="D4V5H1U2LP1610" display="D4V5H1U2LP1610"/>
    <hyperlink ref="B199" r:id="rId_hyperlink_395" tooltip="https://www.diodes.com/datasheet/download/D4V5H1U2LP1610Q.pdf" display="https://www.diodes.com/datasheet/download/D4V5H1U2LP1610Q.pdf"/>
    <hyperlink ref="C199" r:id="rId_hyperlink_396" tooltip="D4V5H1U2LP1610Q" display="D4V5H1U2LP1610Q"/>
    <hyperlink ref="B200" r:id="rId_hyperlink_397" tooltip="https://www.diodes.com/datasheet/download/D4V7S1US2SLP.pdf" display="https://www.diodes.com/datasheet/download/D4V7S1US2SLP.pdf"/>
    <hyperlink ref="C200" r:id="rId_hyperlink_398" tooltip="D4V7S1US2SLP" display="D4V7S1US2SLP"/>
    <hyperlink ref="B201" r:id="rId_hyperlink_399" tooltip="https://www.diodes.com/datasheet/download/ds41785.pdf" display="https://www.diodes.com/datasheet/download/ds41785.pdf"/>
    <hyperlink ref="C201" r:id="rId_hyperlink_400" tooltip="D50V0S1U2LP1608" display="D50V0S1U2LP1608"/>
    <hyperlink ref="B202" r:id="rId_hyperlink_401" tooltip="https://www.diodes.com/datasheet/download/D12V0S1U2LP1610_D50V0S1U2LP1610.pdf" display="https://www.diodes.com/datasheet/download/D12V0S1U2LP1610_D50V0S1U2LP1610.pdf"/>
    <hyperlink ref="C202" r:id="rId_hyperlink_402" tooltip="D50V0S1U2LP1610" display="D50V0S1U2LP1610"/>
    <hyperlink ref="B203" r:id="rId_hyperlink_403" tooltip="https://www.diodes.com/datasheet/download/D55V0M1B2WS.pdf" display="https://www.diodes.com/datasheet/download/D55V0M1B2WS.pdf"/>
    <hyperlink ref="C203" r:id="rId_hyperlink_404" tooltip="D55V0M1B2WS" display="D55V0M1B2WS"/>
    <hyperlink ref="B204" r:id="rId_hyperlink_405" tooltip="https://www.diodes.com/datasheet/download/D55V0M1B2WSQ.pdf" display="https://www.diodes.com/datasheet/download/D55V0M1B2WSQ.pdf"/>
    <hyperlink ref="C204" r:id="rId_hyperlink_406" tooltip="D55V0M1B2WSQ" display="D55V0M1B2WSQ"/>
    <hyperlink ref="B205" r:id="rId_hyperlink_407" tooltip="https://www.diodes.com/datasheet/download/D58V0M4U8MR.pdf" display="https://www.diodes.com/datasheet/download/D58V0M4U8MR.pdf"/>
    <hyperlink ref="C205" r:id="rId_hyperlink_408" tooltip="D58V0M4U8MR" display="D58V0M4U8MR"/>
    <hyperlink ref="B206" r:id="rId_hyperlink_409" tooltip="https://www.diodes.com/datasheet/download/D5V0AP2WF.pdf" display="https://www.diodes.com/datasheet/download/D5V0AP2WF.pdf"/>
    <hyperlink ref="C206" r:id="rId_hyperlink_410" tooltip="D5V0AP2WF" display="D5V0AP2WF"/>
    <hyperlink ref="B207" r:id="rId_hyperlink_411" tooltip="https://www.diodes.com/datasheet/download/D5V0F1B2WS.pdf" display="https://www.diodes.com/datasheet/download/D5V0F1B2WS.pdf"/>
    <hyperlink ref="C207" r:id="rId_hyperlink_412" tooltip="D5V0F1B2WS" display="D5V0F1B2WS"/>
    <hyperlink ref="B208" r:id="rId_hyperlink_413" tooltip="https://www.diodes.com/datasheet/download/D5V0F1U2LP.pdf" display="https://www.diodes.com/datasheet/download/D5V0F1U2LP.pdf"/>
    <hyperlink ref="C208" r:id="rId_hyperlink_414" tooltip="D5V0F1U2LP" display="D5V0F1U2LP"/>
    <hyperlink ref="B209" r:id="rId_hyperlink_415" tooltip="https://www.diodes.com/datasheet/download/D5V0F1U2LP3.pdf" display="https://www.diodes.com/datasheet/download/D5V0F1U2LP3.pdf"/>
    <hyperlink ref="C209" r:id="rId_hyperlink_416" tooltip="D5V0F1U2LP3" display="D5V0F1U2LP3"/>
    <hyperlink ref="B210" r:id="rId_hyperlink_417" tooltip="https://www.diodes.com/datasheet/download/D5V0F1U2LP3Q.pdf" display="https://www.diodes.com/datasheet/download/D5V0F1U2LP3Q.pdf"/>
    <hyperlink ref="C210" r:id="rId_hyperlink_418" tooltip="D5V0F1U2LP3Q" display="D5V0F1U2LP3Q"/>
    <hyperlink ref="B211" r:id="rId_hyperlink_419" tooltip="https://www.diodes.com/datasheet/download/D5V0F1U2LPQ.pdf" display="https://www.diodes.com/datasheet/download/D5V0F1U2LPQ.pdf"/>
    <hyperlink ref="C211" r:id="rId_hyperlink_420" tooltip="D5V0F1U2LPQ" display="D5V0F1U2LPQ"/>
    <hyperlink ref="B212" r:id="rId_hyperlink_421" tooltip="https://www.diodes.com/datasheet/download/D5V0F1U2S9.pdf" display="https://www.diodes.com/datasheet/download/D5V0F1U2S9.pdf"/>
    <hyperlink ref="C212" r:id="rId_hyperlink_422" tooltip="D5V0F1U2S9" display="D5V0F1U2S9"/>
    <hyperlink ref="B213" r:id="rId_hyperlink_423" tooltip="https://www.diodes.com/datasheet/download/D5V0F1U2S9Q.pdf" display="https://www.diodes.com/datasheet/download/D5V0F1U2S9Q.pdf"/>
    <hyperlink ref="C213" r:id="rId_hyperlink_424" tooltip="D5V0F1U2S9Q" display="D5V0F1U2S9Q"/>
    <hyperlink ref="B214" r:id="rId_hyperlink_425" tooltip="https://www.diodes.com/datasheet/download/D5V0F2U3LP.pdf" display="https://www.diodes.com/datasheet/download/D5V0F2U3LP.pdf"/>
    <hyperlink ref="C214" r:id="rId_hyperlink_426" tooltip="D5V0F2U3LP" display="D5V0F2U3LP"/>
    <hyperlink ref="B215" r:id="rId_hyperlink_427" tooltip="https://www.diodes.com/datasheet/download/D5V0F2U3LP08.pdf" display="https://www.diodes.com/datasheet/download/D5V0F2U3LP08.pdf"/>
    <hyperlink ref="C215" r:id="rId_hyperlink_428" tooltip="D5V0F2U3LP08" display="D5V0F2U3LP08"/>
    <hyperlink ref="B216" r:id="rId_hyperlink_429" tooltip="https://www.diodes.com/datasheet/download/D5V0F2U3LPQ.pdf" display="https://www.diodes.com/datasheet/download/D5V0F2U3LPQ.pdf"/>
    <hyperlink ref="C216" r:id="rId_hyperlink_430" tooltip="D5V0F2U3LPQ" display="D5V0F2U3LPQ"/>
    <hyperlink ref="B217" r:id="rId_hyperlink_431" tooltip="https://www.diodes.com/datasheet/download/D5V0F2U3WQ.pdf" display="https://www.diodes.com/datasheet/download/D5V0F2U3WQ.pdf"/>
    <hyperlink ref="C217" r:id="rId_hyperlink_432" tooltip="D5V0F2U3WQ" display="D5V0F2U3WQ"/>
    <hyperlink ref="B218" r:id="rId_hyperlink_433" tooltip="https://www.diodes.com/datasheet/download/D5V0F2U6LP.pdf" display="https://www.diodes.com/datasheet/download/D5V0F2U6LP.pdf"/>
    <hyperlink ref="C218" r:id="rId_hyperlink_434" tooltip="D5V0F2U6LP" display="D5V0F2U6LP"/>
    <hyperlink ref="B219" r:id="rId_hyperlink_435" tooltip="https://www.diodes.com/datasheet/download/D5V0F3B6LP20.pdf" display="https://www.diodes.com/datasheet/download/D5V0F3B6LP20.pdf"/>
    <hyperlink ref="C219" r:id="rId_hyperlink_436" tooltip="D5V0F3B6LP20" display="D5V0F3B6LP20"/>
    <hyperlink ref="B220" r:id="rId_hyperlink_437" tooltip="https://www.diodes.com/datasheet/download/D5V0F4U10LP.pdf" display="https://www.diodes.com/datasheet/download/D5V0F4U10LP.pdf"/>
    <hyperlink ref="C220" r:id="rId_hyperlink_438" tooltip="D5V0F4U10LP" display="D5V0F4U10LP"/>
    <hyperlink ref="B221" r:id="rId_hyperlink_439" tooltip="https://www.diodes.com/datasheet/download/D5V0F4U10MR.pdf" display="https://www.diodes.com/datasheet/download/D5V0F4U10MR.pdf"/>
    <hyperlink ref="C221" r:id="rId_hyperlink_440" tooltip="D5V0F4U10MR" display="D5V0F4U10MR"/>
    <hyperlink ref="B222" r:id="rId_hyperlink_441" tooltip="https://www.diodes.com/datasheet/download/D5V0F4U5P5.pdf" display="https://www.diodes.com/datasheet/download/D5V0F4U5P5.pdf"/>
    <hyperlink ref="C222" r:id="rId_hyperlink_442" tooltip="D5V0F4U5P5" display="D5V0F4U5P5"/>
    <hyperlink ref="B223" r:id="rId_hyperlink_443" tooltip="https://www.diodes.com/datasheet/download/D5V0F4U6S.pdf" display="https://www.diodes.com/datasheet/download/D5V0F4U6S.pdf"/>
    <hyperlink ref="C223" r:id="rId_hyperlink_444" tooltip="D5V0F4U6S" display="D5V0F4U6S"/>
    <hyperlink ref="B224" r:id="rId_hyperlink_445" tooltip="https://www.diodes.com/datasheet/download/D5V0F4U6SO.pdf" display="https://www.diodes.com/datasheet/download/D5V0F4U6SO.pdf"/>
    <hyperlink ref="C224" r:id="rId_hyperlink_446" tooltip="D5V0F4U6SO" display="D5V0F4U6SO"/>
    <hyperlink ref="B225" r:id="rId_hyperlink_447" tooltip="https://www.diodes.com/datasheet/download/D5V0F4U6V.pdf" display="https://www.diodes.com/datasheet/download/D5V0F4U6V.pdf"/>
    <hyperlink ref="C225" r:id="rId_hyperlink_448" tooltip="D5V0F4U6V" display="D5V0F4U6V"/>
    <hyperlink ref="B226" r:id="rId_hyperlink_449" tooltip="https://www.diodes.com/datasheet/download/D5V0F6U8LP33.pdf" display="https://www.diodes.com/datasheet/download/D5V0F6U8LP33.pdf"/>
    <hyperlink ref="C226" r:id="rId_hyperlink_450" tooltip="D5V0F6U8LP33" display="D5V0F6U8LP33"/>
    <hyperlink ref="B227" r:id="rId_hyperlink_451" tooltip="https://www.diodes.com/datasheet/download/D5V0FA1B2WS.pdf" display="https://www.diodes.com/datasheet/download/D5V0FA1B2WS.pdf"/>
    <hyperlink ref="C227" r:id="rId_hyperlink_452" tooltip="D5V0FA1B2WS" display="D5V0FA1B2WS"/>
    <hyperlink ref="B228" r:id="rId_hyperlink_453" tooltip="https://www.diodes.com/datasheet/download/D5V0FS4U10LP.pdf" display="https://www.diodes.com/datasheet/download/D5V0FS4U10LP.pdf"/>
    <hyperlink ref="C228" r:id="rId_hyperlink_454" tooltip="D5V0FS4U10LP" display="D5V0FS4U10LP"/>
    <hyperlink ref="B229" r:id="rId_hyperlink_455" tooltip="https://www.diodes.com/datasheet/download/D5V0H1B2LP.pdf" display="https://www.diodes.com/datasheet/download/D5V0H1B2LP.pdf"/>
    <hyperlink ref="C229" r:id="rId_hyperlink_456" tooltip="D5V0H1B2LP" display="D5V0H1B2LP"/>
    <hyperlink ref="B230" r:id="rId_hyperlink_457" tooltip="https://www.diodes.com/datasheet/download/D5V0H1B2LPQ.pdf" display="https://www.diodes.com/datasheet/download/D5V0H1B2LPQ.pdf"/>
    <hyperlink ref="C230" r:id="rId_hyperlink_458" tooltip="D5V0H1B2LPQ" display="D5V0H1B2LPQ"/>
    <hyperlink ref="B231" r:id="rId_hyperlink_459" tooltip="https://www.diodes.com/datasheet/download/D5V0H1U2LP.pdf" display="https://www.diodes.com/datasheet/download/D5V0H1U2LP.pdf"/>
    <hyperlink ref="C231" r:id="rId_hyperlink_460" tooltip="D5V0H1U2LP" display="D5V0H1U2LP"/>
    <hyperlink ref="B232" r:id="rId_hyperlink_461" tooltip="https://www.diodes.com/datasheet/download/D5V0H1U2LP1610.pdf" display="https://www.diodes.com/datasheet/download/D5V0H1U2LP1610.pdf"/>
    <hyperlink ref="C232" r:id="rId_hyperlink_462" tooltip="D5V0H1U2LP1610" display="D5V0H1U2LP1610"/>
    <hyperlink ref="B233" r:id="rId_hyperlink_463" tooltip="https://www.diodes.com/datasheet/download/D5V0H1U2LP1610Q.pdf" display="https://www.diodes.com/datasheet/download/D5V0H1U2LP1610Q.pdf"/>
    <hyperlink ref="C233" r:id="rId_hyperlink_464" tooltip="D5V0H1U2LP1610Q" display="D5V0H1U2LP1610Q"/>
    <hyperlink ref="B234" r:id="rId_hyperlink_465" tooltip="https://www.diodes.com/datasheet/download/D5V0H1U2LPQ.pdf" display="https://www.diodes.com/datasheet/download/D5V0H1U2LPQ.pdf"/>
    <hyperlink ref="C234" r:id="rId_hyperlink_466" tooltip="D5V0H1U2LPQ" display="D5V0H1U2LPQ"/>
    <hyperlink ref="B235" r:id="rId_hyperlink_467" tooltip="https://www.diodes.com/datasheet/download/D5V0H2U3SO.pdf" display="https://www.diodes.com/datasheet/download/D5V0H2U3SO.pdf"/>
    <hyperlink ref="C235" r:id="rId_hyperlink_468" tooltip="D5V0H2U3SO" display="D5V0H2U3SO"/>
    <hyperlink ref="B236" r:id="rId_hyperlink_469" tooltip="https://www.diodes.com/datasheet/download/D5V0HA2U3SO.pdf" display="https://www.diodes.com/datasheet/download/D5V0HA2U3SO.pdf"/>
    <hyperlink ref="C236" r:id="rId_hyperlink_470" tooltip="D5V0HA2U3SO" display="D5V0HA2U3SO"/>
    <hyperlink ref="B237" r:id="rId_hyperlink_471" tooltip="https://www.diodes.com/datasheet/download/D5V0L1B2LP.pdf" display="https://www.diodes.com/datasheet/download/D5V0L1B2LP.pdf"/>
    <hyperlink ref="C237" r:id="rId_hyperlink_472" tooltip="D5V0L1B2LP" display="D5V0L1B2LP"/>
    <hyperlink ref="B238" r:id="rId_hyperlink_473" tooltip="https://www.diodes.com/datasheet/download/D5V0L1B2LP3.pdf" display="https://www.diodes.com/datasheet/download/D5V0L1B2LP3.pdf"/>
    <hyperlink ref="C238" r:id="rId_hyperlink_474" tooltip="D5V0L1B2LP3" display="D5V0L1B2LP3"/>
    <hyperlink ref="B239" r:id="rId_hyperlink_475" tooltip="https://www.diodes.com/datasheet/download/D5V0L1B2LP3Q.pdf" display="https://www.diodes.com/datasheet/download/D5V0L1B2LP3Q.pdf"/>
    <hyperlink ref="C239" r:id="rId_hyperlink_476" tooltip="D5V0L1B2LP3Q" display="D5V0L1B2LP3Q"/>
    <hyperlink ref="B240" r:id="rId_hyperlink_477" tooltip="https://www.diodes.com/datasheet/download/D5V0L1B2LP4.pdf" display="https://www.diodes.com/datasheet/download/D5V0L1B2LP4.pdf"/>
    <hyperlink ref="C240" r:id="rId_hyperlink_478" tooltip="D5V0L1B2LP4" display="D5V0L1B2LP4"/>
    <hyperlink ref="B241" r:id="rId_hyperlink_479" tooltip="https://www.diodes.com/datasheet/download/D5V0L1B2LPS.pdf" display="https://www.diodes.com/datasheet/download/D5V0L1B2LPS.pdf"/>
    <hyperlink ref="C241" r:id="rId_hyperlink_480" tooltip="D5V0L1B2LPS" display="D5V0L1B2LPS"/>
    <hyperlink ref="B242" r:id="rId_hyperlink_481" tooltip="https://www.diodes.com/datasheet/download/D5V0L1B2LPS.pdf" display="https://www.diodes.com/datasheet/download/D5V0L1B2LPS.pdf"/>
    <hyperlink ref="C242" r:id="rId_hyperlink_482" tooltip="D5V0L1B2LPSQ" display="D5V0L1B2LPSQ"/>
    <hyperlink ref="B243" r:id="rId_hyperlink_483" tooltip="https://www.diodes.com/datasheet/download/D5V0L1B2S9.pdf" display="https://www.diodes.com/datasheet/download/D5V0L1B2S9.pdf"/>
    <hyperlink ref="C243" r:id="rId_hyperlink_484" tooltip="D5V0L1B2S9" display="D5V0L1B2S9"/>
    <hyperlink ref="B244" r:id="rId_hyperlink_485" tooltip="https://www.diodes.com/datasheet/download/D5V0L1B2T.pdf" display="https://www.diodes.com/datasheet/download/D5V0L1B2T.pdf"/>
    <hyperlink ref="C244" r:id="rId_hyperlink_486" tooltip="D5V0L1B2T" display="D5V0L1B2T"/>
    <hyperlink ref="B245" r:id="rId_hyperlink_487" tooltip="https://www.diodes.com/datasheet/download/D5V0L1B2TQ.pdf" display="https://www.diodes.com/datasheet/download/D5V0L1B2TQ.pdf"/>
    <hyperlink ref="C245" r:id="rId_hyperlink_488" tooltip="D5V0L1B2TQ" display="D5V0L1B2TQ"/>
    <hyperlink ref="B246" r:id="rId_hyperlink_489" tooltip="https://www.diodes.com/datasheet/download/D5V0L1B2WS.pdf" display="https://www.diodes.com/datasheet/download/D5V0L1B2WS.pdf"/>
    <hyperlink ref="C246" r:id="rId_hyperlink_490" tooltip="D5V0L1B2WS" display="D5V0L1B2WS"/>
    <hyperlink ref="B247" r:id="rId_hyperlink_491" tooltip="https://www.diodes.com/datasheet/download/D5V0L2B3SO.pdf" display="https://www.diodes.com/datasheet/download/D5V0L2B3SO.pdf"/>
    <hyperlink ref="C247" r:id="rId_hyperlink_492" tooltip="D5V0L2B3SO" display="D5V0L2B3SO"/>
    <hyperlink ref="B248" r:id="rId_hyperlink_493" tooltip="https://www.diodes.com/datasheet/download/D5V0L2B3T.pdf" display="https://www.diodes.com/datasheet/download/D5V0L2B3T.pdf"/>
    <hyperlink ref="C248" r:id="rId_hyperlink_494" tooltip="D5V0L2B3T" display="D5V0L2B3T"/>
    <hyperlink ref="B249" r:id="rId_hyperlink_495" tooltip="https://www.diodes.com/datasheet/download/D5V0L2B3W.pdf" display="https://www.diodes.com/datasheet/download/D5V0L2B3W.pdf"/>
    <hyperlink ref="C249" r:id="rId_hyperlink_496" tooltip="D5V0L2B3W" display="D5V0L2B3W"/>
    <hyperlink ref="B250" r:id="rId_hyperlink_497" tooltip="https://www.diodes.com/datasheet/download/D5V0L4B5S.pdf" display="https://www.diodes.com/datasheet/download/D5V0L4B5S.pdf"/>
    <hyperlink ref="C250" r:id="rId_hyperlink_498" tooltip="D5V0L4B5S" display="D5V0L4B5S"/>
    <hyperlink ref="B251" r:id="rId_hyperlink_499" tooltip="https://www.diodes.com/datasheet/download/D5V0L4B5SO.pdf" display="https://www.diodes.com/datasheet/download/D5V0L4B5SO.pdf"/>
    <hyperlink ref="C251" r:id="rId_hyperlink_500" tooltip="D5V0L4B5SO" display="D5V0L4B5SO"/>
    <hyperlink ref="B252" r:id="rId_hyperlink_501" tooltip="https://www.diodes.com/datasheet/download/D5V0L4B5SOQ.pdf" display="https://www.diodes.com/datasheet/download/D5V0L4B5SOQ.pdf"/>
    <hyperlink ref="C252" r:id="rId_hyperlink_502" tooltip="D5V0L4B5SOQ" display="D5V0L4B5SOQ"/>
    <hyperlink ref="B253" r:id="rId_hyperlink_503" tooltip="https://www.diodes.com/datasheet/download/D5V0L4B5TS.pdf" display="https://www.diodes.com/datasheet/download/D5V0L4B5TS.pdf"/>
    <hyperlink ref="C253" r:id="rId_hyperlink_504" tooltip="D5V0L4B5TS" display="D5V0L4B5TS"/>
    <hyperlink ref="B254" r:id="rId_hyperlink_505" tooltip="https://www.diodes.com/datasheet/download/D5V0L4B5V.pdf" display="https://www.diodes.com/datasheet/download/D5V0L4B5V.pdf"/>
    <hyperlink ref="C254" r:id="rId_hyperlink_506" tooltip="D5V0L4B5V" display="D5V0L4B5V"/>
    <hyperlink ref="B255" r:id="rId_hyperlink_507" tooltip="https://www.diodes.com/datasheet/download/D5V0M1U2LP3.pdf" display="https://www.diodes.com/datasheet/download/D5V0M1U2LP3.pdf"/>
    <hyperlink ref="C255" r:id="rId_hyperlink_508" tooltip="D5V0M1U2LP3" display="D5V0M1U2LP3"/>
    <hyperlink ref="B256" r:id="rId_hyperlink_509" tooltip="https://www.diodes.com/datasheet/download/D5V0M1U2S9.pdf" display="https://www.diodes.com/datasheet/download/D5V0M1U2S9.pdf"/>
    <hyperlink ref="C256" r:id="rId_hyperlink_510" tooltip="D5V0M1U2S9" display="D5V0M1U2S9"/>
    <hyperlink ref="B257" r:id="rId_hyperlink_511" tooltip="https://www.diodes.com/datasheet/download/D5V0M1U2S9Q.pdf" display="https://www.diodes.com/datasheet/download/D5V0M1U2S9Q.pdf"/>
    <hyperlink ref="C257" r:id="rId_hyperlink_512" tooltip="D5V0M1U2S9Q" display="D5V0M1U2S9Q"/>
    <hyperlink ref="B258" r:id="rId_hyperlink_513" tooltip="https://www.diodes.com/datasheet/download/D5V0M2B3LP.pdf" display="https://www.diodes.com/datasheet/download/D5V0M2B3LP.pdf"/>
    <hyperlink ref="C258" r:id="rId_hyperlink_514" tooltip="D5V0M2B3LP" display="D5V0M2B3LP"/>
    <hyperlink ref="B259" r:id="rId_hyperlink_515" tooltip="https://www.diodes.com/datasheet/download/D5V0M2B3LP10.pdf" display="https://www.diodes.com/datasheet/download/D5V0M2B3LP10.pdf"/>
    <hyperlink ref="C259" r:id="rId_hyperlink_516" tooltip="D5V0M2B3LP10" display="D5V0M2B3LP10"/>
    <hyperlink ref="B260" r:id="rId_hyperlink_517" tooltip="https://www.diodes.com/datasheet/download/D5V0M5B6LP16.pdf" display="https://www.diodes.com/datasheet/download/D5V0M5B6LP16.pdf"/>
    <hyperlink ref="C260" r:id="rId_hyperlink_518" tooltip="D5V0M5B6LP16" display="D5V0M5B6LP16"/>
    <hyperlink ref="B261" r:id="rId_hyperlink_519" tooltip="https://www.diodes.com/datasheet/download/D5V0M6B6V.pdf" display="https://www.diodes.com/datasheet/download/D5V0M6B6V.pdf"/>
    <hyperlink ref="C261" r:id="rId_hyperlink_520" tooltip="D5V0M6B6V" display="D5V0M6B6V"/>
    <hyperlink ref="B262" r:id="rId_hyperlink_521" tooltip="https://www.diodes.com/datasheet/download/D5V0P1B2LP.pdf" display="https://www.diodes.com/datasheet/download/D5V0P1B2LP.pdf"/>
    <hyperlink ref="C262" r:id="rId_hyperlink_522" tooltip="D5V0P1B2LP" display="D5V0P1B2LP"/>
    <hyperlink ref="B263" r:id="rId_hyperlink_523" tooltip="https://www.diodes.com/datasheet/download/D5V0P1B2LP3.pdf" display="https://www.diodes.com/datasheet/download/D5V0P1B2LP3.pdf"/>
    <hyperlink ref="C263" r:id="rId_hyperlink_524" tooltip="D5V0P1B2LP3" display="D5V0P1B2LP3"/>
    <hyperlink ref="B264" r:id="rId_hyperlink_525" tooltip="https://www.diodes.com/datasheet/download/D5V0P4B5LP08.pdf" display="https://www.diodes.com/datasheet/download/D5V0P4B5LP08.pdf"/>
    <hyperlink ref="C264" r:id="rId_hyperlink_526" tooltip="D5V0P4B5LP08" display="D5V0P4B5LP08"/>
    <hyperlink ref="B265" r:id="rId_hyperlink_527" tooltip="https://www.diodes.com/datasheet/download/D5V0P4UR6SO.pdf" display="https://www.diodes.com/datasheet/download/D5V0P4UR6SO.pdf"/>
    <hyperlink ref="C265" r:id="rId_hyperlink_528" tooltip="D5V0P4UR6SO" display="D5V0P4UR6SO"/>
    <hyperlink ref="B266" r:id="rId_hyperlink_529" tooltip="https://www.diodes.com/datasheet/download/D5V0P4UR6SOQ.pdf" display="https://www.diodes.com/datasheet/download/D5V0P4UR6SOQ.pdf"/>
    <hyperlink ref="C266" r:id="rId_hyperlink_530" tooltip="D5V0P4UR6SOQ" display="D5V0P4UR6SOQ"/>
    <hyperlink ref="B267" r:id="rId_hyperlink_531" tooltip="https://www.diodes.com/datasheet/download/D5V0P4URL6SO.pdf" display="https://www.diodes.com/datasheet/download/D5V0P4URL6SO.pdf"/>
    <hyperlink ref="C267" r:id="rId_hyperlink_532" tooltip="D5V0P4URL6SO" display="D5V0P4URL6SO"/>
    <hyperlink ref="B268" r:id="rId_hyperlink_533" tooltip="https://www.diodes.com/datasheet/download/D5V0Q1B2LP3.pdf" display="https://www.diodes.com/datasheet/download/D5V0Q1B2LP3.pdf"/>
    <hyperlink ref="C268" r:id="rId_hyperlink_534" tooltip="D5V0Q1B2LP3" display="D5V0Q1B2LP3"/>
    <hyperlink ref="B269" r:id="rId_hyperlink_535" tooltip="https://www.diodes.com/datasheet/download/D5V0S1B2LP.pdf" display="https://www.diodes.com/datasheet/download/D5V0S1B2LP.pdf"/>
    <hyperlink ref="C269" r:id="rId_hyperlink_536" tooltip="D5V0S1B2LP" display="D5V0S1B2LP"/>
    <hyperlink ref="B270" r:id="rId_hyperlink_537" tooltip="https://www.diodes.com/datasheet/download/D5V0S1U2LP.pdf" display="https://www.diodes.com/datasheet/download/D5V0S1U2LP.pdf"/>
    <hyperlink ref="C270" r:id="rId_hyperlink_538" tooltip="D5V0S1U2LP" display="D5V0S1U2LP"/>
    <hyperlink ref="B271" r:id="rId_hyperlink_539" tooltip="https://www.diodes.com/datasheet/download/ds41785.pdf" display="https://www.diodes.com/datasheet/download/ds41785.pdf"/>
    <hyperlink ref="C271" r:id="rId_hyperlink_540" tooltip="D5V0S1U2LP1608" display="D5V0S1U2LP1608"/>
    <hyperlink ref="B272" r:id="rId_hyperlink_541" tooltip="https://www.diodes.com/datasheet/download/D5V0S1U2LP1608A.pdf" display="https://www.diodes.com/datasheet/download/D5V0S1U2LP1608A.pdf"/>
    <hyperlink ref="C272" r:id="rId_hyperlink_542" tooltip="D5V0S1U2LP1608A" display="D5V0S1U2LP1608A"/>
    <hyperlink ref="B273" r:id="rId_hyperlink_543" tooltip="https://www.diodes.com/datasheet/download/D5V0S1U2LP1610.pdf" display="https://www.diodes.com/datasheet/download/D5V0S1U2LP1610.pdf"/>
    <hyperlink ref="C273" r:id="rId_hyperlink_544" tooltip="D5V0S1U2LP1610" display="D5V0S1U2LP1610"/>
    <hyperlink ref="B274" r:id="rId_hyperlink_545" tooltip="https://www.diodes.com/datasheet/download/D5V0S1U2LP1610Q.pdf" display="https://www.diodes.com/datasheet/download/D5V0S1U2LP1610Q.pdf"/>
    <hyperlink ref="C274" r:id="rId_hyperlink_546" tooltip="D5V0S1U2LP1610Q" display="D5V0S1U2LP1610Q"/>
    <hyperlink ref="B275" r:id="rId_hyperlink_547" tooltip="https://www.diodes.com/datasheet/download/D5V0S1U2LPSQ.pdf" display="https://www.diodes.com/datasheet/download/D5V0S1U2LPSQ.pdf"/>
    <hyperlink ref="C275" r:id="rId_hyperlink_548" tooltip="D5V0S1U2LPSQ" display="D5V0S1U2LPSQ"/>
    <hyperlink ref="B276" r:id="rId_hyperlink_549" tooltip="https://www.diodes.com/datasheet/download/D5V0S1U2WS.pdf" display="https://www.diodes.com/datasheet/download/D5V0S1U2WS.pdf"/>
    <hyperlink ref="C276" r:id="rId_hyperlink_550" tooltip="D5V0S1U2WS" display="D5V0S1U2WS"/>
    <hyperlink ref="B277" r:id="rId_hyperlink_551" tooltip="https://www.diodes.com/datasheet/download/D5V0S1UN2LP1610.pdf" display="https://www.diodes.com/datasheet/download/D5V0S1UN2LP1610.pdf"/>
    <hyperlink ref="C277" r:id="rId_hyperlink_552" tooltip="D5V0S1UN2LP1610" display="D5V0S1UN2LP1610"/>
    <hyperlink ref="B278" r:id="rId_hyperlink_553" tooltip="https://www.diodes.com/datasheet/download/D5V0S1US2LP.pdf" display="https://www.diodes.com/datasheet/download/D5V0S1US2LP.pdf"/>
    <hyperlink ref="C278" r:id="rId_hyperlink_554" tooltip="D5V0S1US2LP" display="D5V0S1US2LP"/>
    <hyperlink ref="B279" r:id="rId_hyperlink_555" tooltip="https://www.diodes.com/datasheet/download/D5V0S1US2SLP.pdf" display="https://www.diodes.com/datasheet/download/D5V0S1US2SLP.pdf"/>
    <hyperlink ref="C279" r:id="rId_hyperlink_556" tooltip="D5V0S1US2SLP" display="D5V0S1US2SLP"/>
    <hyperlink ref="B280" r:id="rId_hyperlink_557" tooltip="https://www.diodes.com/datasheet/download/D5V0X1B2LP.pdf" display="https://www.diodes.com/datasheet/download/D5V0X1B2LP.pdf"/>
    <hyperlink ref="C280" r:id="rId_hyperlink_558" tooltip="D5V0X1B2LP" display="D5V0X1B2LP"/>
    <hyperlink ref="B281" r:id="rId_hyperlink_559" tooltip="https://www.diodes.com/datasheet/download/D5V0X1B2LP3.pdf" display="https://www.diodes.com/datasheet/download/D5V0X1B2LP3.pdf"/>
    <hyperlink ref="C281" r:id="rId_hyperlink_560" tooltip="D5V0X1B2LP3" display="D5V0X1B2LP3"/>
    <hyperlink ref="B282" r:id="rId_hyperlink_561" tooltip="https://www.diodes.com/datasheet/download/D5V0X1B2LP3Q.pdf" display="https://www.diodes.com/datasheet/download/D5V0X1B2LP3Q.pdf"/>
    <hyperlink ref="C282" r:id="rId_hyperlink_562" tooltip="D5V0X1B2LP3Q" display="D5V0X1B2LP3Q"/>
    <hyperlink ref="B283" r:id="rId_hyperlink_563" tooltip="https://www.diodes.com/datasheet/download/D5V0X1B2LPQ.pdf" display="https://www.diodes.com/datasheet/download/D5V0X1B2LPQ.pdf"/>
    <hyperlink ref="C283" r:id="rId_hyperlink_564" tooltip="D5V0X1B2LPQ" display="D5V0X1B2LPQ"/>
    <hyperlink ref="B284" r:id="rId_hyperlink_565" tooltip="https://www.diodes.com/datasheet/download/D5V0X1BA2LP.pdf" display="https://www.diodes.com/datasheet/download/D5V0X1BA2LP.pdf"/>
    <hyperlink ref="C284" r:id="rId_hyperlink_566" tooltip="D5V0X1BA2LP" display="D5V0X1BA2LP"/>
    <hyperlink ref="B285" r:id="rId_hyperlink_567" tooltip="https://www.diodes.com/datasheet/download/DS43178.pdf" display="https://www.diodes.com/datasheet/download/DS43178.pdf"/>
    <hyperlink ref="C285" r:id="rId_hyperlink_568" tooltip="D5V0X1BA2LP4Q" display="D5V0X1BA2LP4Q"/>
    <hyperlink ref="B286" r:id="rId_hyperlink_569" tooltip="https://www.diodes.com/datasheet/download/D5V0X1BA2LPQ+.pdf" display="https://www.diodes.com/datasheet/download/D5V0X1BA2LPQ+.pdf"/>
    <hyperlink ref="C286" r:id="rId_hyperlink_570" tooltip="D5V0X1BA2LPQ" display="D5V0X1BA2LPQ"/>
    <hyperlink ref="B287" r:id="rId_hyperlink_571" tooltip="https://www.diodes.com/datasheet/download/D5V0X1BD2LPSQ.pdf" display="https://www.diodes.com/datasheet/download/D5V0X1BD2LPSQ.pdf"/>
    <hyperlink ref="C287" r:id="rId_hyperlink_572" tooltip="D5V0X1BD2LPSQ" display="D5V0X1BD2LPSQ"/>
    <hyperlink ref="B288" r:id="rId_hyperlink_573" tooltip="https://www.diodes.com/datasheet/download/D5V0X4U10LP.pdf" display="https://www.diodes.com/datasheet/download/D5V0X4U10LP.pdf"/>
    <hyperlink ref="C288" r:id="rId_hyperlink_574" tooltip="D5V0X4U10LP" display="D5V0X4U10LP"/>
    <hyperlink ref="B289" r:id="rId_hyperlink_575" tooltip="https://www.diodes.com/datasheet/download/D5V0X4U10LPQ.pdf" display="https://www.diodes.com/datasheet/download/D5V0X4U10LPQ.pdf"/>
    <hyperlink ref="C289" r:id="rId_hyperlink_576" tooltip="D5V0X4U10LPQ" display="D5V0X4U10LPQ"/>
    <hyperlink ref="B290" r:id="rId_hyperlink_577" tooltip="https://www.diodes.com/datasheet/download/D5V0Z1B2LP.pdf" display="https://www.diodes.com/datasheet/download/D5V0Z1B2LP.pdf"/>
    <hyperlink ref="C290" r:id="rId_hyperlink_578" tooltip="D5V0Z1B2LP" display="D5V0Z1B2LP"/>
    <hyperlink ref="B291" r:id="rId_hyperlink_579" tooltip="https://www.diodes.com/datasheet/download/D5V0Z1B2LP3.pdf" display="https://www.diodes.com/datasheet/download/D5V0Z1B2LP3.pdf"/>
    <hyperlink ref="C291" r:id="rId_hyperlink_580" tooltip="D5V0Z1B2LP3" display="D5V0Z1B2LP3"/>
    <hyperlink ref="B292" r:id="rId_hyperlink_581" tooltip="https://www.diodes.com/datasheet/download/D5V0Z1B2LPQ.pdf" display="https://www.diodes.com/datasheet/download/D5V0Z1B2LPQ.pdf"/>
    <hyperlink ref="C292" r:id="rId_hyperlink_582" tooltip="D5V0Z1B2LPQ" display="D5V0Z1B2LPQ"/>
    <hyperlink ref="B293" r:id="rId_hyperlink_583" tooltip="https://www.diodes.com/datasheet/download/D5V0Z1B2LPSQ.pdf" display="https://www.diodes.com/datasheet/download/D5V0Z1B2LPSQ.pdf"/>
    <hyperlink ref="C293" r:id="rId_hyperlink_584" tooltip="D5V0Z1B2LPSQ" display="D5V0Z1B2LPSQ"/>
    <hyperlink ref="B294" r:id="rId_hyperlink_585" tooltip="https://www.diodes.com/datasheet/download/D60V0L4B10LP.pdf" display="https://www.diodes.com/datasheet/download/D60V0L4B10LP.pdf"/>
    <hyperlink ref="C294" r:id="rId_hyperlink_586" tooltip="D60V0L4B10LP" display="D60V0L4B10LP"/>
    <hyperlink ref="B295" r:id="rId_hyperlink_587" tooltip="https://www.diodes.com/datasheet/download/D6V3E1U2LP.pdf" display="https://www.diodes.com/datasheet/download/D6V3E1U2LP.pdf"/>
    <hyperlink ref="C295" r:id="rId_hyperlink_588" tooltip="D6V3E1U2LP" display="D6V3E1U2LP"/>
    <hyperlink ref="B296" r:id="rId_hyperlink_589" tooltip="https://www.diodes.com/datasheet/download/D6V3H1U2LP.pdf" display="https://www.diodes.com/datasheet/download/D6V3H1U2LP.pdf"/>
    <hyperlink ref="C296" r:id="rId_hyperlink_590" tooltip="D6V3H1U2LP" display="D6V3H1U2LP"/>
    <hyperlink ref="B297" r:id="rId_hyperlink_591" tooltip="https://www.diodes.com/datasheet/download/D6V3H1U2LP16.pdf" display="https://www.diodes.com/datasheet/download/D6V3H1U2LP16.pdf"/>
    <hyperlink ref="C297" r:id="rId_hyperlink_592" tooltip="D6V3H1U2LP16" display="D6V3H1U2LP16"/>
    <hyperlink ref="B298" r:id="rId_hyperlink_593" tooltip="https://www.diodes.com/datasheet/download/D6V3H1U2LP1610Q.pdf" display="https://www.diodes.com/datasheet/download/D6V3H1U2LP1610Q.pdf"/>
    <hyperlink ref="C298" r:id="rId_hyperlink_594" tooltip="D6V3H1U2LP1610Q" display="D6V3H1U2LP1610Q"/>
    <hyperlink ref="B299" r:id="rId_hyperlink_595" tooltip="https://www.diodes.com/datasheet/download/D6V3H1U2LP4.pdf" display="https://www.diodes.com/datasheet/download/D6V3H1U2LP4.pdf"/>
    <hyperlink ref="C299" r:id="rId_hyperlink_596" tooltip="D6V3H1U2LP4" display="D6V3H1U2LP4"/>
    <hyperlink ref="B300" r:id="rId_hyperlink_597" tooltip="https://www.diodes.com/datasheet/download/D6V3H1U2LPQ.pdf" display="https://www.diodes.com/datasheet/download/D6V3H1U2LPQ.pdf"/>
    <hyperlink ref="C300" r:id="rId_hyperlink_598" tooltip="D6V3H1U2LPQ" display="D6V3H1U2LPQ"/>
    <hyperlink ref="B301" r:id="rId_hyperlink_599" tooltip="https://www.diodes.com/datasheet/download/D6V3H1US2LP4.pdf" display="https://www.diodes.com/datasheet/download/D6V3H1US2LP4.pdf"/>
    <hyperlink ref="C301" r:id="rId_hyperlink_600" tooltip="D6V3H1US2LP4" display="D6V3H1US2LP4"/>
    <hyperlink ref="B302" r:id="rId_hyperlink_601" tooltip="https://www.diodes.com/datasheet/download/D6V3M1U2LP3.pdf" display="https://www.diodes.com/datasheet/download/D6V3M1U2LP3.pdf"/>
    <hyperlink ref="C302" r:id="rId_hyperlink_602" tooltip="D6V3M1U2LP3" display="D6V3M1U2LP3"/>
    <hyperlink ref="B303" r:id="rId_hyperlink_603" tooltip="https://www.diodes.com/datasheet/download/D6V3S1U2LP.pdf" display="https://www.diodes.com/datasheet/download/D6V3S1U2LP.pdf"/>
    <hyperlink ref="C303" r:id="rId_hyperlink_604" tooltip="D6V3S1U2LP" display="D6V3S1U2LP"/>
    <hyperlink ref="B304" r:id="rId_hyperlink_605" tooltip="https://www.diodes.com/datasheet/download/D7V0H1U2LP.pdf" display="https://www.diodes.com/datasheet/download/D7V0H1U2LP.pdf"/>
    <hyperlink ref="C304" r:id="rId_hyperlink_606" tooltip="D7V0H1U2LP" display="D7V0H1U2LP"/>
    <hyperlink ref="B305" r:id="rId_hyperlink_607" tooltip="https://www.diodes.com/datasheet/download/D7V0H1U2LPQ.pdf" display="https://www.diodes.com/datasheet/download/D7V0H1U2LPQ.pdf"/>
    <hyperlink ref="C305" r:id="rId_hyperlink_608" tooltip="D7V0H1U2LPQ" display="D7V0H1U2LPQ"/>
    <hyperlink ref="B306" r:id="rId_hyperlink_609" tooltip="https://www.diodes.com/datasheet/download/D7V0M1U2LP3.pdf" display="https://www.diodes.com/datasheet/download/D7V0M1U2LP3.pdf"/>
    <hyperlink ref="C306" r:id="rId_hyperlink_610" tooltip="D7V0M1U2LP3" display="D7V0M1U2LP3"/>
    <hyperlink ref="B307" r:id="rId_hyperlink_611" tooltip="https://www.diodes.com/datasheet/download/D7V0M1U2S9.pdf" display="https://www.diodes.com/datasheet/download/D7V0M1U2S9.pdf"/>
    <hyperlink ref="C307" r:id="rId_hyperlink_612" tooltip="D7V0M1U2S9" display="D7V0M1U2S9"/>
    <hyperlink ref="B308" r:id="rId_hyperlink_613" tooltip="https://www.diodes.com/datasheet/download/D7V0M1U2S9Q.pdf" display="https://www.diodes.com/datasheet/download/D7V0M1U2S9Q.pdf"/>
    <hyperlink ref="C308" r:id="rId_hyperlink_614" tooltip="D7V0M1U2S9Q" display="D7V0M1U2S9Q"/>
    <hyperlink ref="B309" r:id="rId_hyperlink_615" tooltip="https://www.diodes.com/datasheet/download/D7V0S1U2WS.pdf" display="https://www.diodes.com/datasheet/download/D7V0S1U2WS.pdf"/>
    <hyperlink ref="C309" r:id="rId_hyperlink_616" tooltip="D7V0S1U2WS" display="D7V0S1U2WS"/>
    <hyperlink ref="B310" r:id="rId_hyperlink_617" tooltip="https://www.diodes.com/datasheet/download/D7V0X1B2LP3.pdf" display="https://www.diodes.com/datasheet/download/D7V0X1B2LP3.pdf"/>
    <hyperlink ref="C310" r:id="rId_hyperlink_618" tooltip="D7V0X1B2LP3" display="D7V0X1B2LP3"/>
    <hyperlink ref="B311" r:id="rId_hyperlink_619" tooltip="https://www.diodes.com/datasheet/download/D7V5S1U3LP20-D48V0S1U3LP20.pdf" display="https://www.diodes.com/datasheet/download/D7V5S1U3LP20-D48V0S1U3LP20.pdf"/>
    <hyperlink ref="C311" r:id="rId_hyperlink_620" tooltip="D7V5S1U3LP20" display="D7V5S1U3LP20"/>
    <hyperlink ref="B312" r:id="rId_hyperlink_621" tooltip="https://www.diodes.com/datasheet/download/D7V9H1U2LP1610.pdf" display="https://www.diodes.com/datasheet/download/D7V9H1U2LP1610.pdf"/>
    <hyperlink ref="C312" r:id="rId_hyperlink_622" tooltip="D7V9H1U2LP1610" display="D7V9H1U2LP1610"/>
    <hyperlink ref="B313" r:id="rId_hyperlink_623" tooltip="https://www.diodes.com/datasheet/download/D7V9H1U2LP1610Q.pdf" display="https://www.diodes.com/datasheet/download/D7V9H1U2LP1610Q.pdf"/>
    <hyperlink ref="C313" r:id="rId_hyperlink_624" tooltip="D7V9H1U2LP1610Q" display="D7V9H1U2LP1610Q"/>
    <hyperlink ref="B314" r:id="rId_hyperlink_625" tooltip="https://www.diodes.com/datasheet/download/D7V9S1U2LP.pdf" display="https://www.diodes.com/datasheet/download/D7V9S1U2LP.pdf"/>
    <hyperlink ref="C314" r:id="rId_hyperlink_626" tooltip="D7V9S1U2LP" display="D7V9S1U2LP"/>
    <hyperlink ref="B315" r:id="rId_hyperlink_627" tooltip="https://www.diodes.com/datasheet/download/D8V0H1B2LP.pdf" display="https://www.diodes.com/datasheet/download/D8V0H1B2LP.pdf"/>
    <hyperlink ref="C315" r:id="rId_hyperlink_628" tooltip="D8V0H1B2LP" display="D8V0H1B2LP"/>
    <hyperlink ref="B316" r:id="rId_hyperlink_629" tooltip="https://www.diodes.com/datasheet/download/D8V0H1B2LPQ.pdf" display="https://www.diodes.com/datasheet/download/D8V0H1B2LPQ.pdf"/>
    <hyperlink ref="C316" r:id="rId_hyperlink_630" tooltip="D8V0H1B2LPQ" display="D8V0H1B2LPQ"/>
    <hyperlink ref="B317" r:id="rId_hyperlink_631" tooltip="https://www.diodes.com/datasheet/download/D8V0H1U2LP1610.pdf" display="https://www.diodes.com/datasheet/download/D8V0H1U2LP1610.pdf"/>
    <hyperlink ref="C317" r:id="rId_hyperlink_632" tooltip="D8V0H1U2LP1610" display="D8V0H1U2LP1610"/>
    <hyperlink ref="B318" r:id="rId_hyperlink_633" tooltip="https://www.diodes.com/datasheet/download/D8V0L1B2LP.pdf" display="https://www.diodes.com/datasheet/download/D8V0L1B2LP.pdf"/>
    <hyperlink ref="C318" r:id="rId_hyperlink_634" tooltip="D8V0L1B2LP" display="D8V0L1B2LP"/>
    <hyperlink ref="B319" r:id="rId_hyperlink_635" tooltip="https://www.diodes.com/datasheet/download/D8V0L1B2LP3.pdf" display="https://www.diodes.com/datasheet/download/D8V0L1B2LP3.pdf"/>
    <hyperlink ref="C319" r:id="rId_hyperlink_636" tooltip="D8V0L1B2LP3" display="D8V0L1B2LP3"/>
    <hyperlink ref="B320" r:id="rId_hyperlink_637" tooltip="https://www.diodes.com/datasheet/download/D8V0L1B2LP3Q.pdf" display="https://www.diodes.com/datasheet/download/D8V0L1B2LP3Q.pdf"/>
    <hyperlink ref="C320" r:id="rId_hyperlink_638" tooltip="D8V0L1B2LP3Q" display="D8V0L1B2LP3Q"/>
    <hyperlink ref="B321" r:id="rId_hyperlink_639" tooltip="https://www.diodes.com/datasheet/download/D8V0L1B2LPQ.pdf" display="https://www.diodes.com/datasheet/download/D8V0L1B2LPQ.pdf"/>
    <hyperlink ref="C321" r:id="rId_hyperlink_640" tooltip="D8V0L1B2LPQ" display="D8V0L1B2LPQ"/>
    <hyperlink ref="B322" r:id="rId_hyperlink_641" tooltip="https://www.diodes.com/datasheet/download/D8V0X1B2LP.pdf" display="https://www.diodes.com/datasheet/download/D8V0X1B2LP.pdf"/>
    <hyperlink ref="C322" r:id="rId_hyperlink_642" tooltip="D8V0X1B2LP" display="D8V0X1B2LP"/>
    <hyperlink ref="B323" r:id="rId_hyperlink_643" tooltip="https://www.diodes.com/datasheet/download/DS43178.pdf" display="https://www.diodes.com/datasheet/download/DS43178.pdf"/>
    <hyperlink ref="C323" r:id="rId_hyperlink_644" tooltip="D8V0X1B2LP4Q" display="D8V0X1B2LP4Q"/>
    <hyperlink ref="B324" r:id="rId_hyperlink_645" tooltip="https://www.diodes.com/datasheet/download/D8V0X1B2LPQ.pdf" display="https://www.diodes.com/datasheet/download/D8V0X1B2LPQ.pdf"/>
    <hyperlink ref="C324" r:id="rId_hyperlink_646" tooltip="D8V0X1B2LPQ" display="D8V0X1B2LPQ"/>
    <hyperlink ref="B325" r:id="rId_hyperlink_647" tooltip="https://www.diodes.com/datasheet/download/DBLC03CI.pdf" display="https://www.diodes.com/datasheet/download/DBLC03CI.pdf"/>
    <hyperlink ref="C325" r:id="rId_hyperlink_648" tooltip="DBLC03CI" display="DBLC03CI"/>
    <hyperlink ref="B326" r:id="rId_hyperlink_649" tooltip="https://www.diodes.com/datasheet/download/DBLC03CIQ.pdf" display="https://www.diodes.com/datasheet/download/DBLC03CIQ.pdf"/>
    <hyperlink ref="C326" r:id="rId_hyperlink_650" tooltip="DBLC03CIQ" display="DBLC03CIQ"/>
    <hyperlink ref="B327" r:id="rId_hyperlink_651" tooltip="https://www.diodes.com/datasheet/download/DBLC05CI.pdf" display="https://www.diodes.com/datasheet/download/DBLC05CI.pdf"/>
    <hyperlink ref="C327" r:id="rId_hyperlink_652" tooltip="DBLC05CI" display="DBLC05CI"/>
    <hyperlink ref="B328" r:id="rId_hyperlink_653" tooltip="https://www.diodes.com/datasheet/download/DBLC05CIQ.pdf" display="https://www.diodes.com/datasheet/download/DBLC05CIQ.pdf"/>
    <hyperlink ref="C328" r:id="rId_hyperlink_654" tooltip="DBLC05CIQ" display="DBLC05CIQ"/>
    <hyperlink ref="B329" r:id="rId_hyperlink_655" tooltip="https://www.diodes.com/datasheet/download/DBLC05IQ.pdf" display="https://www.diodes.com/datasheet/download/DBLC05IQ.pdf"/>
    <hyperlink ref="C329" r:id="rId_hyperlink_656" tooltip="DBLC05IQ" display="DBLC05IQ"/>
    <hyperlink ref="B330" r:id="rId_hyperlink_657" tooltip="https://www.diodes.com/datasheet/download/DBLC08CI.pdf" display="https://www.diodes.com/datasheet/download/DBLC08CI.pdf"/>
    <hyperlink ref="C330" r:id="rId_hyperlink_658" tooltip="DBLC08CI" display="DBLC08CI"/>
    <hyperlink ref="B331" r:id="rId_hyperlink_659" tooltip="https://www.diodes.com/datasheet/download/DBLC08CIQ.pdf" display="https://www.diodes.com/datasheet/download/DBLC08CIQ.pdf"/>
    <hyperlink ref="C331" r:id="rId_hyperlink_660" tooltip="DBLC08CIQ" display="DBLC08CIQ"/>
    <hyperlink ref="B332" r:id="rId_hyperlink_661" tooltip="https://www.diodes.com/datasheet/download/DBLC12CI.pdf" display="https://www.diodes.com/datasheet/download/DBLC12CI.pdf"/>
    <hyperlink ref="C332" r:id="rId_hyperlink_662" tooltip="DBLC12CI" display="DBLC12CI"/>
    <hyperlink ref="B333" r:id="rId_hyperlink_663" tooltip="https://www.diodes.com/datasheet/download/DBLC12CIQ.pdf" display="https://www.diodes.com/datasheet/download/DBLC12CIQ.pdf"/>
    <hyperlink ref="C333" r:id="rId_hyperlink_664" tooltip="DBLC12CIQ" display="DBLC12CIQ"/>
    <hyperlink ref="B334" r:id="rId_hyperlink_665" tooltip="https://www.diodes.com/datasheet/download/DBLC15CI.pdf" display="https://www.diodes.com/datasheet/download/DBLC15CI.pdf"/>
    <hyperlink ref="C334" r:id="rId_hyperlink_666" tooltip="DBLC15CI" display="DBLC15CI"/>
    <hyperlink ref="B335" r:id="rId_hyperlink_667" tooltip="https://www.diodes.com/datasheet/download/DBLC15CIQ.pdf" display="https://www.diodes.com/datasheet/download/DBLC15CIQ.pdf"/>
    <hyperlink ref="C335" r:id="rId_hyperlink_668" tooltip="DBLC15CIQ" display="DBLC15CIQ"/>
    <hyperlink ref="B336" r:id="rId_hyperlink_669" tooltip="https://www.diodes.com/datasheet/download/DBLC18CI.pdf" display="https://www.diodes.com/datasheet/download/DBLC18CI.pdf"/>
    <hyperlink ref="C336" r:id="rId_hyperlink_670" tooltip="DBLC18CI" display="DBLC18CI"/>
    <hyperlink ref="B337" r:id="rId_hyperlink_671" tooltip="https://www.diodes.com/datasheet/download/DBLC18CIQ.pdf" display="https://www.diodes.com/datasheet/download/DBLC18CIQ.pdf"/>
    <hyperlink ref="C337" r:id="rId_hyperlink_672" tooltip="DBLC18CIQ" display="DBLC18CIQ"/>
    <hyperlink ref="B338" r:id="rId_hyperlink_673" tooltip="https://www.diodes.com/datasheet/download/DBLC24CI.pdf" display="https://www.diodes.com/datasheet/download/DBLC24CI.pdf"/>
    <hyperlink ref="C338" r:id="rId_hyperlink_674" tooltip="DBLC24CI" display="DBLC24CI"/>
    <hyperlink ref="B339" r:id="rId_hyperlink_675" tooltip="https://www.diodes.com/datasheet/download/DBLC24CIQ.pdf" display="https://www.diodes.com/datasheet/download/DBLC24CIQ.pdf"/>
    <hyperlink ref="C339" r:id="rId_hyperlink_676" tooltip="DBLC24CIQ" display="DBLC24CIQ"/>
    <hyperlink ref="B340" r:id="rId_hyperlink_677" tooltip="https://www.diodes.com/datasheet/download/DESD0V8Z1BCSF.pdf" display="https://www.diodes.com/datasheet/download/DESD0V8Z1BCSF.pdf"/>
    <hyperlink ref="C340" r:id="rId_hyperlink_678" tooltip="DESD0V8Z1BCSF" display="DESD0V8Z1BCSF"/>
    <hyperlink ref="B341" r:id="rId_hyperlink_679" tooltip="https://www.diodes.com/datasheet/download/DESD12V0S1BL.pdf" display="https://www.diodes.com/datasheet/download/DESD12V0S1BL.pdf"/>
    <hyperlink ref="C341" r:id="rId_hyperlink_680" tooltip="DESD12V0S1BL" display="DESD12V0S1BL"/>
    <hyperlink ref="B342" r:id="rId_hyperlink_681" tooltip="https://www.diodes.com/datasheet/download/DESD12V0S1BLQ.pdf" display="https://www.diodes.com/datasheet/download/DESD12V0S1BLQ.pdf"/>
    <hyperlink ref="C342" r:id="rId_hyperlink_682" tooltip="DESD12V0S1BLQ" display="DESD12V0S1BLQ"/>
    <hyperlink ref="B343" r:id="rId_hyperlink_683" tooltip="https://www.diodes.com/datasheet/download/DESD3V3L1BAQ+DESD24VL1BAQ.pdf" display="https://www.diodes.com/datasheet/download/DESD3V3L1BAQ+DESD24VL1BAQ.pdf"/>
    <hyperlink ref="C343" r:id="rId_hyperlink_684" tooltip="DESD12VL1BAQ" display="DESD12VL1BAQ"/>
    <hyperlink ref="B344" r:id="rId_hyperlink_685" tooltip="https://www.diodes.com/datasheet/download/DESD3V3L2BTQ+DESD24VL2BTQ.pdf" display="https://www.diodes.com/datasheet/download/DESD3V3L2BTQ+DESD24VL2BTQ.pdf"/>
    <hyperlink ref="C344" r:id="rId_hyperlink_686" tooltip="DESD12VL2BTQ" display="DESD12VL2BTQ"/>
    <hyperlink ref="B345" r:id="rId_hyperlink_687" tooltip="https://www.diodes.com/datasheet/download/DESDxxVxS2UTQ+SERIES.pdf" display="https://www.diodes.com/datasheet/download/DESDxxVxS2UTQ+SERIES.pdf"/>
    <hyperlink ref="C345" r:id="rId_hyperlink_688" tooltip="DESD12VS2UTQ" display="DESD12VS2UTQ"/>
    <hyperlink ref="B346" r:id="rId_hyperlink_689" tooltip="https://www.diodes.com/datasheet/download/DESD3V3L1BAQ+DESD24VL1BAQ.pdf" display="https://www.diodes.com/datasheet/download/DESD3V3L1BAQ+DESD24VL1BAQ.pdf"/>
    <hyperlink ref="C346" r:id="rId_hyperlink_690" tooltip="DESD15VL1BAQ" display="DESD15VL1BAQ"/>
    <hyperlink ref="B347" r:id="rId_hyperlink_691" tooltip="https://www.diodes.com/datasheet/download/DESD3V3L2BTQ+DESD24VL2BTQ.pdf" display="https://www.diodes.com/datasheet/download/DESD3V3L2BTQ+DESD24VL2BTQ.pdf"/>
    <hyperlink ref="C347" r:id="rId_hyperlink_692" tooltip="DESD15VL2BTQ" display="DESD15VL2BTQ"/>
    <hyperlink ref="B348" r:id="rId_hyperlink_693" tooltip="https://www.diodes.com/datasheet/download/DESDxxVxS2UTQ+SERIES.pdf" display="https://www.diodes.com/datasheet/download/DESDxxVxS2UTQ+SERIES.pdf"/>
    <hyperlink ref="C348" r:id="rId_hyperlink_694" tooltip="DESD15VS2UTQ" display="DESD15VS2UTQ"/>
    <hyperlink ref="B349" r:id="rId_hyperlink_695" tooltip="https://www.diodes.com/datasheet/download/DESD18VF1BL.pdf" display="https://www.diodes.com/datasheet/download/DESD18VF1BL.pdf"/>
    <hyperlink ref="C349" r:id="rId_hyperlink_696" tooltip="DESD18VF1BL" display="DESD18VF1BL"/>
    <hyperlink ref="B350" r:id="rId_hyperlink_697" tooltip="https://www.diodes.com/datasheet/download/DESD18VF1BLP3.pdf" display="https://www.diodes.com/datasheet/download/DESD18VF1BLP3.pdf"/>
    <hyperlink ref="C350" r:id="rId_hyperlink_698" tooltip="DESD18VF1BLP3" display="DESD18VF1BLP3"/>
    <hyperlink ref="B351" r:id="rId_hyperlink_699" tooltip="https://www.diodes.com/datasheet/download/DESD18VF1BLQ.pdf" display="https://www.diodes.com/datasheet/download/DESD18VF1BLQ.pdf"/>
    <hyperlink ref="C351" r:id="rId_hyperlink_700" tooltip="DESD18VF1BLQ" display="DESD18VF1BLQ"/>
    <hyperlink ref="B352" r:id="rId_hyperlink_701" tooltip="https://www.diodes.com/datasheet/download/DESD18VS1BLP3.pdf" display="https://www.diodes.com/datasheet/download/DESD18VS1BLP3.pdf"/>
    <hyperlink ref="C352" r:id="rId_hyperlink_702" tooltip="DESD18VS1BLP3" display="DESD18VS1BLP3"/>
    <hyperlink ref="B353" r:id="rId_hyperlink_703" tooltip="https://www.diodes.com/datasheet/download/DESD1CAN2SOQ.pdf" display="https://www.diodes.com/datasheet/download/DESD1CAN2SOQ.pdf"/>
    <hyperlink ref="C353" r:id="rId_hyperlink_704" tooltip="DESD1CAN2SOQ" display="DESD1CAN2SOQ"/>
    <hyperlink ref="B354" r:id="rId_hyperlink_705" tooltip="https://www.diodes.com/datasheet/download/DESD1CAN2WQ.pdf" display="https://www.diodes.com/datasheet/download/DESD1CAN2WQ.pdf"/>
    <hyperlink ref="C354" r:id="rId_hyperlink_706" tooltip="DESD1CAN2WQ" display="DESD1CAN2WQ"/>
    <hyperlink ref="B355" r:id="rId_hyperlink_707" tooltip="https://www.diodes.com/datasheet/download/DESD1CANFD24VSOQ.pdf" display="https://www.diodes.com/datasheet/download/DESD1CANFD24VSOQ.pdf"/>
    <hyperlink ref="C355" r:id="rId_hyperlink_708" tooltip="DESD1CANFD24VSOQ" display="DESD1CANFD24VSOQ"/>
    <hyperlink ref="B356" r:id="rId_hyperlink_709" tooltip="https://www.diodes.com/datasheet/download/DESD1CANFD24VWQ.pdf" display="https://www.diodes.com/datasheet/download/DESD1CANFD24VWQ.pdf"/>
    <hyperlink ref="C356" r:id="rId_hyperlink_710" tooltip="DESD1CANFD24VWQ" display="DESD1CANFD24VWQ"/>
    <hyperlink ref="B357" r:id="rId_hyperlink_711" tooltip="https://www.diodes.com/datasheet/download/DESD1ETH1GLPSQ.pdf" display="https://www.diodes.com/datasheet/download/DESD1ETH1GLPSQ.pdf"/>
    <hyperlink ref="C357" r:id="rId_hyperlink_712" tooltip="DESD1ETH1GLPSQ" display="DESD1ETH1GLPSQ"/>
    <hyperlink ref="B358" r:id="rId_hyperlink_713" tooltip="https://www.diodes.com/datasheet/download/DESD1ETH1GXLPSQ.pdf" display="https://www.diodes.com/datasheet/download/DESD1ETH1GXLPSQ.pdf"/>
    <hyperlink ref="C358" r:id="rId_hyperlink_714" tooltip="DESD1ETH1GXLPSQ" display="DESD1ETH1GXLPSQ"/>
    <hyperlink ref="B359" r:id="rId_hyperlink_715" tooltip="https://www.diodes.com/datasheet/download/DESD1FLEX2SOQ.pdf" display="https://www.diodes.com/datasheet/download/DESD1FLEX2SOQ.pdf"/>
    <hyperlink ref="C359" r:id="rId_hyperlink_716" tooltip="DESD1FLEX2SOQ" display="DESD1FLEX2SOQ"/>
    <hyperlink ref="B360" r:id="rId_hyperlink_717" tooltip="https://www.diodes.com/datasheet/download/DESD1IVN27V2WSQ.pdf" display="https://www.diodes.com/datasheet/download/DESD1IVN27V2WSQ.pdf"/>
    <hyperlink ref="C360" r:id="rId_hyperlink_718" tooltip="DESD1IVN27V2WSQ" display="DESD1IVN27V2WSQ"/>
    <hyperlink ref="B361" r:id="rId_hyperlink_719" tooltip="https://www.diodes.com/datasheet/download/DESD1LIN2WSQ.pdf" display="https://www.diodes.com/datasheet/download/DESD1LIN2WSQ.pdf"/>
    <hyperlink ref="C361" r:id="rId_hyperlink_720" tooltip="DESD1LIN2WSQ" display="DESD1LIN2WSQ"/>
    <hyperlink ref="B362" r:id="rId_hyperlink_721" tooltip="https://www.diodes.com/datasheet/download/DESD1P0RFWA.pdf" display="https://www.diodes.com/datasheet/download/DESD1P0RFWA.pdf"/>
    <hyperlink ref="C362" r:id="rId_hyperlink_722" tooltip="DESD1P0RFWA" display="DESD1P0RFWA"/>
    <hyperlink ref="B363" r:id="rId_hyperlink_723" tooltip="https://www.diodes.com/datasheet/download/DESD1V0ZS1BLP3.pdf" display="https://www.diodes.com/datasheet/download/DESD1V0ZS1BLP3.pdf"/>
    <hyperlink ref="C363" r:id="rId_hyperlink_724" tooltip="DESD1V0ZS1BLP3" display="DESD1V0ZS1BLP3"/>
    <hyperlink ref="B364" r:id="rId_hyperlink_725" tooltip="https://www.diodes.com/datasheet/download/DESD1V5ZS1BLP3.pdf" display="https://www.diodes.com/datasheet/download/DESD1V5ZS1BLP3.pdf"/>
    <hyperlink ref="C364" r:id="rId_hyperlink_726" tooltip="DESD1V5ZS1BLP3" display="DESD1V5ZS1BLP3"/>
    <hyperlink ref="B365" r:id="rId_hyperlink_727" tooltip="https://www.diodes.com/datasheet/download/DESD24VF1BL.pdf" display="https://www.diodes.com/datasheet/download/DESD24VF1BL.pdf"/>
    <hyperlink ref="C365" r:id="rId_hyperlink_728" tooltip="DESD24VF1BL" display="DESD24VF1BL"/>
    <hyperlink ref="B366" r:id="rId_hyperlink_729" tooltip="https://www.diodes.com/datasheet/download/DESD24VF1BLP3.pdf" display="https://www.diodes.com/datasheet/download/DESD24VF1BLP3.pdf"/>
    <hyperlink ref="C366" r:id="rId_hyperlink_730" tooltip="DESD24VF1BLP3" display="DESD24VF1BLP3"/>
    <hyperlink ref="B367" r:id="rId_hyperlink_731" tooltip="https://www.diodes.com/datasheet/download/DESD24VF1BLQ.pdf" display="https://www.diodes.com/datasheet/download/DESD24VF1BLQ.pdf"/>
    <hyperlink ref="C367" r:id="rId_hyperlink_732" tooltip="DESD24VF1BLQ" display="DESD24VF1BLQ"/>
    <hyperlink ref="B368" r:id="rId_hyperlink_733" tooltip="https://www.diodes.com/datasheet/download/DESD3V3L1BAQ+DESD24VL1BAQ.pdf" display="https://www.diodes.com/datasheet/download/DESD3V3L1BAQ+DESD24VL1BAQ.pdf"/>
    <hyperlink ref="C368" r:id="rId_hyperlink_734" tooltip="DESD24VL1BAQ" display="DESD24VL1BAQ"/>
    <hyperlink ref="B369" r:id="rId_hyperlink_735" tooltip="https://www.diodes.com/datasheet/download/DESD3V3L2BTQ+DESD24VL2BTQ.pdf" display="https://www.diodes.com/datasheet/download/DESD3V3L2BTQ+DESD24VL2BTQ.pdf"/>
    <hyperlink ref="C369" r:id="rId_hyperlink_736" tooltip="DESD24VL2BTQ" display="DESD24VL2BTQ"/>
    <hyperlink ref="B370" r:id="rId_hyperlink_737" tooltip="https://www.diodes.com/datasheet/download/DESD24VS2SO.pdf" display="https://www.diodes.com/datasheet/download/DESD24VS2SO.pdf"/>
    <hyperlink ref="C370" r:id="rId_hyperlink_738" tooltip="DESD24VS2SO" display="DESD24VS2SO"/>
    <hyperlink ref="B371" r:id="rId_hyperlink_739" tooltip="https://www.diodes.com/datasheet/download/DESD24VS2SOQ.pdf" display="https://www.diodes.com/datasheet/download/DESD24VS2SOQ.pdf"/>
    <hyperlink ref="C371" r:id="rId_hyperlink_740" tooltip="DESD24VS2SOQ" display="DESD24VS2SOQ"/>
    <hyperlink ref="B372" r:id="rId_hyperlink_741" tooltip="https://www.diodes.com/datasheet/download/DESDxxVxS2UTQ+SERIES.pdf" display="https://www.diodes.com/datasheet/download/DESDxxVxS2UTQ+SERIES.pdf"/>
    <hyperlink ref="C372" r:id="rId_hyperlink_742" tooltip="DESD24VS2UTQ" display="DESD24VS2UTQ"/>
    <hyperlink ref="B373" r:id="rId_hyperlink_743" tooltip="https://www.diodes.com/datasheet/download/DESD24VS5U6SOQ.pdf" display="https://www.diodes.com/datasheet/download/DESD24VS5U6SOQ.pdf"/>
    <hyperlink ref="C373" r:id="rId_hyperlink_744" tooltip="DESD24VS5U6SOQ" display="DESD24VS5U6SOQ"/>
    <hyperlink ref="B374" r:id="rId_hyperlink_745" tooltip="https://www.diodes.com/datasheet/download/DESD2CAN2SOQ.pdf" display="https://www.diodes.com/datasheet/download/DESD2CAN2SOQ.pdf"/>
    <hyperlink ref="C374" r:id="rId_hyperlink_746" tooltip="DESD2CAN2SOQ" display="DESD2CAN2SOQ"/>
    <hyperlink ref="B375" r:id="rId_hyperlink_747" tooltip="https://www.diodes.com/datasheet/download/DESD2ETH100SOQ.pdf" display="https://www.diodes.com/datasheet/download/DESD2ETH100SOQ.pdf"/>
    <hyperlink ref="C375" r:id="rId_hyperlink_748" tooltip="DESD2ETH100SOQ" display="DESD2ETH100SOQ"/>
    <hyperlink ref="B376" r:id="rId_hyperlink_749" tooltip="https://www.diodes.com/datasheet/download/DESD2ETH1GSOQ.pdf" display="https://www.diodes.com/datasheet/download/DESD2ETH1GSOQ.pdf"/>
    <hyperlink ref="C376" r:id="rId_hyperlink_750" tooltip="DESD2ETH1GSOQ" display="DESD2ETH1GSOQ"/>
    <hyperlink ref="B377" r:id="rId_hyperlink_751" tooltip="https://www.diodes.com/datasheet/download/DESD2ETH1GXSOQ.pdf" display="https://www.diodes.com/datasheet/download/DESD2ETH1GXSOQ.pdf"/>
    <hyperlink ref="C377" r:id="rId_hyperlink_752" tooltip="DESD2ETH1GXSOQ" display="DESD2ETH1GXSOQ"/>
    <hyperlink ref="B378" r:id="rId_hyperlink_753" tooltip="https://www.diodes.com/datasheet/download/DESD2FLEX2SOQ.pdf" display="https://www.diodes.com/datasheet/download/DESD2FLEX2SOQ.pdf"/>
    <hyperlink ref="C378" r:id="rId_hyperlink_754" tooltip="DESD2FLEX2SOQ" display="DESD2FLEX2SOQ"/>
    <hyperlink ref="B379" r:id="rId_hyperlink_755" tooltip="https://www.diodes.com/datasheet/download/DESD2IVN27V3WQ.pdf" display="https://www.diodes.com/datasheet/download/DESD2IVN27V3WQ.pdf"/>
    <hyperlink ref="C379" r:id="rId_hyperlink_756" tooltip="DESD2IVN27V3WQ" display="DESD2IVN27V3WQ"/>
    <hyperlink ref="B380" r:id="rId_hyperlink_757" tooltip="https://www.diodes.com/datasheet/download/DESD2V5Z1BCSF.pdf" display="https://www.diodes.com/datasheet/download/DESD2V5Z1BCSF.pdf"/>
    <hyperlink ref="C380" r:id="rId_hyperlink_758" tooltip="DESD2V5Z1BCSF" display="DESD2V5Z1BCSF"/>
    <hyperlink ref="B381" r:id="rId_hyperlink_759" tooltip="https://www.diodes.com/datasheet/download/DESD30VF1BL.pdf" display="https://www.diodes.com/datasheet/download/DESD30VF1BL.pdf"/>
    <hyperlink ref="C381" r:id="rId_hyperlink_760" tooltip="DESD30VF1BL" display="DESD30VF1BL"/>
    <hyperlink ref="B382" r:id="rId_hyperlink_761" tooltip="https://www.diodes.com/datasheet/download/DESD30VF1BLQ.pdf" display="https://www.diodes.com/datasheet/download/DESD30VF1BLQ.pdf"/>
    <hyperlink ref="C382" r:id="rId_hyperlink_762" tooltip="DESD30VF1BLQ" display="DESD30VF1BLQ"/>
    <hyperlink ref="B383" r:id="rId_hyperlink_763" tooltip="https://www.diodes.com/datasheet/download/DESD32VS2SO.pdf" display="https://www.diodes.com/datasheet/download/DESD32VS2SO.pdf"/>
    <hyperlink ref="C383" r:id="rId_hyperlink_764" tooltip="DESD32VS2SO" display="DESD32VS2SO"/>
    <hyperlink ref="B384" r:id="rId_hyperlink_765" tooltip="https://www.diodes.com/datasheet/download/DESD32VS2SOQ.pdf" display="https://www.diodes.com/datasheet/download/DESD32VS2SOQ.pdf"/>
    <hyperlink ref="C384" r:id="rId_hyperlink_766" tooltip="DESD32VS2SOQ" display="DESD32VS2SOQ"/>
    <hyperlink ref="B385" r:id="rId_hyperlink_767" tooltip="https://www.diodes.com/datasheet/download/DESD34VS2SO.pdf" display="https://www.diodes.com/datasheet/download/DESD34VS2SO.pdf"/>
    <hyperlink ref="C385" r:id="rId_hyperlink_768" tooltip="DESD34VS2SO" display="DESD34VS2SO"/>
    <hyperlink ref="B386" r:id="rId_hyperlink_769" tooltip="https://www.diodes.com/datasheet/download/DESD34VS2SOQ.pdf" display="https://www.diodes.com/datasheet/download/DESD34VS2SOQ.pdf"/>
    <hyperlink ref="C386" r:id="rId_hyperlink_770" tooltip="DESD34VS2SOQ" display="DESD34VS2SOQ"/>
    <hyperlink ref="B387" r:id="rId_hyperlink_771" tooltip="https://www.diodes.com/datasheet/download/DESD3512SO.pdf" display="https://www.diodes.com/datasheet/download/DESD3512SO.pdf"/>
    <hyperlink ref="C387" r:id="rId_hyperlink_772" tooltip="DESD3512SO" display="DESD3512SO"/>
    <hyperlink ref="B388" r:id="rId_hyperlink_773" tooltip="https://www.diodes.com/datasheet/download/DESD35VF1BL.pdf" display="https://www.diodes.com/datasheet/download/DESD35VF1BL.pdf"/>
    <hyperlink ref="C388" r:id="rId_hyperlink_774" tooltip="DESD35VF1BL" display="DESD35VF1BL"/>
    <hyperlink ref="B389" r:id="rId_hyperlink_775" tooltip="https://www.diodes.com/datasheet/download/DESD35VF1BLP3.pdf" display="https://www.diodes.com/datasheet/download/DESD35VF1BLP3.pdf"/>
    <hyperlink ref="C389" r:id="rId_hyperlink_776" tooltip="DESD35VF1BLP3" display="DESD35VF1BLP3"/>
    <hyperlink ref="B390" r:id="rId_hyperlink_777" tooltip="https://www.diodes.com/datasheet/download/DESD35VF1BLQ.pdf" display="https://www.diodes.com/datasheet/download/DESD35VF1BLQ.pdf"/>
    <hyperlink ref="C390" r:id="rId_hyperlink_778" tooltip="DESD35VF1BLQ" display="DESD35VF1BLQ"/>
    <hyperlink ref="B391" r:id="rId_hyperlink_779" tooltip="https://www.diodes.com/datasheet/download/DESDxxVxS2UTQ+SERIES.pdf" display="https://www.diodes.com/datasheet/download/DESDxxVxS2UTQ+SERIES.pdf"/>
    <hyperlink ref="C391" r:id="rId_hyperlink_780" tooltip="DESD36VS2UTQ" display="DESD36VS2UTQ"/>
    <hyperlink ref="B392" r:id="rId_hyperlink_781" tooltip="https://www.diodes.com/datasheet/download/DESD3V3E1BL.pdf" display="https://www.diodes.com/datasheet/download/DESD3V3E1BL.pdf"/>
    <hyperlink ref="C392" r:id="rId_hyperlink_782" tooltip="DESD3V3E1BL" display="DESD3V3E1BL"/>
    <hyperlink ref="B393" r:id="rId_hyperlink_783" tooltip="https://www.diodes.com/datasheet/download/DESD3V3L1BAQ+DESD24VL1BAQ.pdf" display="https://www.diodes.com/datasheet/download/DESD3V3L1BAQ+DESD24VL1BAQ.pdf"/>
    <hyperlink ref="C393" r:id="rId_hyperlink_784" tooltip="DESD3V3L1BAQ" display="DESD3V3L1BAQ"/>
    <hyperlink ref="B394" r:id="rId_hyperlink_785" tooltip="https://www.diodes.com/datasheet/download/DESD3V3L2BTQ+DESD24VL2BTQ.pdf" display="https://www.diodes.com/datasheet/download/DESD3V3L2BTQ+DESD24VL2BTQ.pdf"/>
    <hyperlink ref="C394" r:id="rId_hyperlink_786" tooltip="DESD3V3L2BTQ" display="DESD3V3L2BTQ"/>
    <hyperlink ref="B395" r:id="rId_hyperlink_787" tooltip="https://www.diodes.com/datasheet/download/DESD3V3S1BL+.pdf" display="https://www.diodes.com/datasheet/download/DESD3V3S1BL+.pdf"/>
    <hyperlink ref="C395" r:id="rId_hyperlink_788" tooltip="DESD3V3S1BL" display="DESD3V3S1BL"/>
    <hyperlink ref="B396" r:id="rId_hyperlink_789" tooltip="https://www.diodes.com/datasheet/download/DESD3V3S1BLP3.pdf" display="https://www.diodes.com/datasheet/download/DESD3V3S1BLP3.pdf"/>
    <hyperlink ref="C396" r:id="rId_hyperlink_790" tooltip="DESD3V3S1BLP3" display="DESD3V3S1BLP3"/>
    <hyperlink ref="B397" r:id="rId_hyperlink_791" tooltip="https://www.diodes.com/datasheet/download/DESD3V3S1BLQ.pdf" display="https://www.diodes.com/datasheet/download/DESD3V3S1BLQ.pdf"/>
    <hyperlink ref="C397" r:id="rId_hyperlink_792" tooltip="DESD3V3S1BLQ" display="DESD3V3S1BLQ"/>
    <hyperlink ref="B398" r:id="rId_hyperlink_793" tooltip="https://www.diodes.com/datasheet/download/DESDxxVxS2UTQ+SERIES.pdf" display="https://www.diodes.com/datasheet/download/DESDxxVxS2UTQ+SERIES.pdf"/>
    <hyperlink ref="C398" r:id="rId_hyperlink_794" tooltip="DESD3V3S2UTQ" display="DESD3V3S2UTQ"/>
    <hyperlink ref="B399" r:id="rId_hyperlink_795" tooltip="https://www.diodes.com/datasheet/download/DESD3V3X1BCSF.pdf" display="https://www.diodes.com/datasheet/download/DESD3V3X1BCSF.pdf"/>
    <hyperlink ref="C399" r:id="rId_hyperlink_796" tooltip="DESD3V3X1BCSF" display="DESD3V3X1BCSF"/>
    <hyperlink ref="B400" r:id="rId_hyperlink_797" tooltip="https://www.diodes.com/datasheet/download/DESD3V3XA1BCSF.pdf" display="https://www.diodes.com/datasheet/download/DESD3V3XA1BCSF.pdf"/>
    <hyperlink ref="C400" r:id="rId_hyperlink_798" tooltip="DESD3V3XA1BCSF" display="DESD3V3XA1BCSF"/>
    <hyperlink ref="B401" r:id="rId_hyperlink_799" tooltip="https://www.diodes.com/datasheet/download/DESD3V3Z1BCSF.pdf" display="https://www.diodes.com/datasheet/download/DESD3V3Z1BCSF.pdf"/>
    <hyperlink ref="C401" r:id="rId_hyperlink_800" tooltip="DESD3V3Z1BCSF" display="DESD3V3Z1BCSF"/>
    <hyperlink ref="B402" r:id="rId_hyperlink_801" tooltip="https://www.diodes.com/datasheet/download/DESD3V3Z1BCSFQ.pdf" display="https://www.diodes.com/datasheet/download/DESD3V3Z1BCSFQ.pdf"/>
    <hyperlink ref="C402" r:id="rId_hyperlink_802" tooltip="DESD3V3Z1BCSFQ" display="DESD3V3Z1BCSFQ"/>
    <hyperlink ref="B403" r:id="rId_hyperlink_803" tooltip="https://www.diodes.com/datasheet/download/DESD3V3ZS1BLP3.pdf" display="https://www.diodes.com/datasheet/download/DESD3V3ZS1BLP3.pdf"/>
    <hyperlink ref="C403" r:id="rId_hyperlink_804" tooltip="DESD3V3ZS1BLP3" display="DESD3V3ZS1BLP3"/>
    <hyperlink ref="B404" r:id="rId_hyperlink_805" tooltip="https://www.diodes.com/datasheet/download/DESD3V3L1BAQ+DESD24VL1BAQ.pdf" display="https://www.diodes.com/datasheet/download/DESD3V3L1BAQ+DESD24VL1BAQ.pdf"/>
    <hyperlink ref="C404" r:id="rId_hyperlink_806" tooltip="DESD5V0L1BAQ" display="DESD5V0L1BAQ"/>
    <hyperlink ref="B405" r:id="rId_hyperlink_807" tooltip="https://www.diodes.com/datasheet/download/DESD3V3L2BTQ+DESD24VL2BTQ.pdf" display="https://www.diodes.com/datasheet/download/DESD3V3L2BTQ+DESD24VL2BTQ.pdf"/>
    <hyperlink ref="C405" r:id="rId_hyperlink_808" tooltip="DESD5V0L2BTQ" display="DESD5V0L2BTQ"/>
    <hyperlink ref="B406" r:id="rId_hyperlink_809" tooltip="https://www.diodes.com/datasheet/download/DESD5V0S1BA.pdf" display="https://www.diodes.com/datasheet/download/DESD5V0S1BA.pdf"/>
    <hyperlink ref="C406" r:id="rId_hyperlink_810" tooltip="DESD5V0S1BA" display="DESD5V0S1BA"/>
    <hyperlink ref="B407" r:id="rId_hyperlink_811" tooltip="https://www.diodes.com/datasheet/download/DESD5V0S1BAQ.pdf" display="https://www.diodes.com/datasheet/download/DESD5V0S1BAQ.pdf"/>
    <hyperlink ref="C407" r:id="rId_hyperlink_812" tooltip="DESD5V0S1BAQ" display="DESD5V0S1BAQ"/>
    <hyperlink ref="B408" r:id="rId_hyperlink_813" tooltip="https://www.diodes.com/datasheet/download/DESD5V0S1BB.pdf" display="https://www.diodes.com/datasheet/download/DESD5V0S1BB.pdf"/>
    <hyperlink ref="C408" r:id="rId_hyperlink_814" tooltip="DESD5V0S1BB" display="DESD5V0S1BB"/>
    <hyperlink ref="B409" r:id="rId_hyperlink_815" tooltip="https://www.diodes.com/datasheet/download/DESD5V0S1BL.pdf" display="https://www.diodes.com/datasheet/download/DESD5V0S1BL.pdf"/>
    <hyperlink ref="C409" r:id="rId_hyperlink_816" tooltip="DESD5V0S1BL" display="DESD5V0S1BL"/>
    <hyperlink ref="B410" r:id="rId_hyperlink_817" tooltip="https://www.diodes.com/datasheet/download/DESD5V0S1BLD.pdf" display="https://www.diodes.com/datasheet/download/DESD5V0S1BLD.pdf"/>
    <hyperlink ref="C410" r:id="rId_hyperlink_818" tooltip="DESD5V0S1BLD" display="DESD5V0S1BLD"/>
    <hyperlink ref="B411" r:id="rId_hyperlink_819" tooltip="https://www.diodes.com/datasheet/download/DESD5V0S1BLP3.pdf" display="https://www.diodes.com/datasheet/download/DESD5V0S1BLP3.pdf"/>
    <hyperlink ref="C411" r:id="rId_hyperlink_820" tooltip="DESD5V0S1BLP3" display="DESD5V0S1BLP3"/>
    <hyperlink ref="B412" r:id="rId_hyperlink_821" tooltip="https://www.diodes.com/datasheet/download/DESD5V0U1BA.pdf" display="https://www.diodes.com/datasheet/download/DESD5V0U1BA.pdf"/>
    <hyperlink ref="C412" r:id="rId_hyperlink_822" tooltip="DESD5V0U1BA" display="DESD5V0U1BA"/>
    <hyperlink ref="B413" r:id="rId_hyperlink_823" tooltip="https://www.diodes.com/datasheet/download/DESD5V0U1BB.pdf" display="https://www.diodes.com/datasheet/download/DESD5V0U1BB.pdf"/>
    <hyperlink ref="C413" r:id="rId_hyperlink_824" tooltip="DESD5V0U1BB" display="DESD5V0U1BB"/>
    <hyperlink ref="B414" r:id="rId_hyperlink_825" tooltip="https://www.diodes.com/datasheet/download/DESD5V0U1BL.pdf" display="https://www.diodes.com/datasheet/download/DESD5V0U1BL.pdf"/>
    <hyperlink ref="C414" r:id="rId_hyperlink_826" tooltip="DESD5V0U1BL" display="DESD5V0U1BL"/>
    <hyperlink ref="B415" r:id="rId_hyperlink_827" tooltip="https://www.diodes.com/datasheet/download/DESD5V0U1BLQ.pdf" display="https://www.diodes.com/datasheet/download/DESD5V0U1BLQ.pdf"/>
    <hyperlink ref="C415" r:id="rId_hyperlink_828" tooltip="DESD5V0U1BLQ" display="DESD5V0U1BLQ"/>
    <hyperlink ref="B416" r:id="rId_hyperlink_829" tooltip="https://www.diodes.com/datasheet/download/DESD5V0X1BCSF.pdf" display="https://www.diodes.com/datasheet/download/DESD5V0X1BCSF.pdf"/>
    <hyperlink ref="C416" r:id="rId_hyperlink_830" tooltip="DESD5V0X1BCSF" display="DESD5V0X1BCSF"/>
    <hyperlink ref="B417" r:id="rId_hyperlink_831" tooltip="https://www.diodes.com/datasheet/download/DESD5V0XA1BCSF.pdf" display="https://www.diodes.com/datasheet/download/DESD5V0XA1BCSF.pdf"/>
    <hyperlink ref="C417" r:id="rId_hyperlink_832" tooltip="DESD5V0XA1BCSF" display="DESD5V0XA1BCSF"/>
    <hyperlink ref="B418" r:id="rId_hyperlink_833" tooltip="https://www.diodes.com/datasheet/download/DESD5V2S2UT.pdf" display="https://www.diodes.com/datasheet/download/DESD5V2S2UT.pdf"/>
    <hyperlink ref="C418" r:id="rId_hyperlink_834" tooltip="DESD5V2S2UT" display="DESD5V2S2UT"/>
    <hyperlink ref="B419" r:id="rId_hyperlink_835" tooltip="https://www.diodes.com/datasheet/download/DESDxxVxS2UTQ+SERIES.pdf" display="https://www.diodes.com/datasheet/download/DESDxxVxS2UTQ+SERIES.pdf"/>
    <hyperlink ref="C419" r:id="rId_hyperlink_836" tooltip="DESD5V2S2UTQ" display="DESD5V2S2UTQ"/>
    <hyperlink ref="B420" r:id="rId_hyperlink_837" tooltip="https://www.diodes.com/datasheet/download/DESD6V8DLPA.pdf" display="https://www.diodes.com/datasheet/download/DESD6V8DLPA.pdf"/>
    <hyperlink ref="C420" r:id="rId_hyperlink_838" tooltip="DESD6V8DLPA" display="DESD6V8DLPA"/>
    <hyperlink ref="B421" r:id="rId_hyperlink_839" tooltip="https://www.diodes.com/datasheet/download/DESDA5V3L.pdf" display="https://www.diodes.com/datasheet/download/DESDA5V3L.pdf"/>
    <hyperlink ref="C421" r:id="rId_hyperlink_840" tooltip="DESDA5V3L" display="DESDA5V3L"/>
    <hyperlink ref="B422" r:id="rId_hyperlink_841" tooltip="https://www.diodes.com/datasheet/download/DESDA5V3LQ.pdf" display="https://www.diodes.com/datasheet/download/DESDA5V3LQ.pdf"/>
    <hyperlink ref="C422" r:id="rId_hyperlink_842" tooltip="DESDA5V3LQ" display="DESDA5V3LQ"/>
    <hyperlink ref="B423" r:id="rId_hyperlink_843" tooltip="https://www.diodes.com/datasheet/download/DESDALC5ALP.pdf" display="https://www.diodes.com/datasheet/download/DESDALC5ALP.pdf"/>
    <hyperlink ref="C423" r:id="rId_hyperlink_844" tooltip="DESDALC5ALP" display="DESDALC5ALP"/>
    <hyperlink ref="B424" r:id="rId_hyperlink_845" tooltip="https://www.diodes.com/datasheet/download/DESDALC5LP.pdf" display="https://www.diodes.com/datasheet/download/DESDALC5LP.pdf"/>
    <hyperlink ref="C424" r:id="rId_hyperlink_846" tooltip="DESDALC5LP" display="DESDALC5LP"/>
    <hyperlink ref="B425" r:id="rId_hyperlink_847" tooltip="https://www.diodes.com/datasheet/download/DLP05LC.pdf" display="https://www.diodes.com/datasheet/download/DLP05LC.pdf"/>
    <hyperlink ref="C425" r:id="rId_hyperlink_848" tooltip="DLP05LC" display="DLP05LC"/>
    <hyperlink ref="B426" r:id="rId_hyperlink_849" tooltip="https://www.diodes.com/datasheet/download/DLP05LCA.pdf" display="https://www.diodes.com/datasheet/download/DLP05LCA.pdf"/>
    <hyperlink ref="C426" r:id="rId_hyperlink_850" tooltip="DLP05LCA" display="DLP05LCA"/>
    <hyperlink ref="B427" r:id="rId_hyperlink_851" tooltip="https://www.diodes.com/datasheet/download/DLPA006.pdf" display="https://www.diodes.com/datasheet/download/DLPA006.pdf"/>
    <hyperlink ref="C427" r:id="rId_hyperlink_852" tooltip="DLPA006" display="DLPA006"/>
    <hyperlink ref="B428" r:id="rId_hyperlink_853" tooltip="https://www.diodes.com/datasheet/download/DLPT05.pdf" display="https://www.diodes.com/datasheet/download/DLPT05.pdf"/>
    <hyperlink ref="C428" r:id="rId_hyperlink_854" tooltip="DLPT05" display="DLPT05"/>
    <hyperlink ref="B429" r:id="rId_hyperlink_855" tooltip="https://www.diodes.com/datasheet/download/DLPT05A.pdf" display="https://www.diodes.com/datasheet/download/DLPT05A.pdf"/>
    <hyperlink ref="C429" r:id="rId_hyperlink_856" tooltip="DLPT05A" display="DLPT05A"/>
    <hyperlink ref="B430" r:id="rId_hyperlink_857" tooltip="https://www.diodes.com/datasheet/download/DLPT05WA.pdf" display="https://www.diodes.com/datasheet/download/DLPT05WA.pdf"/>
    <hyperlink ref="C430" r:id="rId_hyperlink_858" tooltip="DLPT05WA" display="DLPT05WA"/>
    <hyperlink ref="B431" r:id="rId_hyperlink_859" tooltip="https://www.diodes.com/datasheet/download/DM1231-02SO.pdf" display="https://www.diodes.com/datasheet/download/DM1231-02SO.pdf"/>
    <hyperlink ref="C431" r:id="rId_hyperlink_860" tooltip="DM1231-02SO" display="DM1231-02SO"/>
    <hyperlink ref="B432" r:id="rId_hyperlink_861" tooltip="https://www.diodes.com/datasheet/download/DMF05LCFLPA.pdf" display="https://www.diodes.com/datasheet/download/DMF05LCFLPA.pdf"/>
    <hyperlink ref="C432" r:id="rId_hyperlink_862" tooltip="DMF05LCFLPA" display="DMF05LCFLPA"/>
    <hyperlink ref="B433" r:id="rId_hyperlink_863" tooltip="https://www.diodes.com/datasheet/download/DMF05LCFLPAQ.pdf" display="https://www.diodes.com/datasheet/download/DMF05LCFLPAQ.pdf"/>
    <hyperlink ref="C433" r:id="rId_hyperlink_864" tooltip="DMF05LCFLPAQ" display="DMF05LCFLPAQ"/>
    <hyperlink ref="B434" r:id="rId_hyperlink_865" tooltip="https://www.diodes.com/datasheet/download/DRTR5V0U1LP.pdf" display="https://www.diodes.com/datasheet/download/DRTR5V0U1LP.pdf"/>
    <hyperlink ref="C434" r:id="rId_hyperlink_866" tooltip="DRTR5V0U1LP" display="DRTR5V0U1LP"/>
    <hyperlink ref="B435" r:id="rId_hyperlink_867" tooltip="https://www.diodes.com/datasheet/download/DRTR5V0U1LPQ.pdf" display="https://www.diodes.com/datasheet/download/DRTR5V0U1LPQ.pdf"/>
    <hyperlink ref="C435" r:id="rId_hyperlink_868" tooltip="DRTR5V0U1LPQ" display="DRTR5V0U1LPQ"/>
    <hyperlink ref="B436" r:id="rId_hyperlink_869" tooltip="https://www.diodes.com/datasheet/download/DRTR5V0U1SO.pdf" display="https://www.diodes.com/datasheet/download/DRTR5V0U1SO.pdf"/>
    <hyperlink ref="C436" r:id="rId_hyperlink_870" tooltip="DRTR5V0U1SO" display="DRTR5V0U1SO"/>
    <hyperlink ref="B437" r:id="rId_hyperlink_871" tooltip="https://www.diodes.com/datasheet/download/DRTR5V0U2SO.pdf" display="https://www.diodes.com/datasheet/download/DRTR5V0U2SO.pdf"/>
    <hyperlink ref="C437" r:id="rId_hyperlink_872" tooltip="DRTR5V0U2SO" display="DRTR5V0U2SO"/>
    <hyperlink ref="B438" r:id="rId_hyperlink_873" tooltip="https://www.diodes.com/datasheet/download/DRTR5V0U2SOQ.pdf" display="https://www.diodes.com/datasheet/download/DRTR5V0U2SOQ.pdf"/>
    <hyperlink ref="C438" r:id="rId_hyperlink_874" tooltip="DRTR5V0U2SOQ" display="DRTR5V0U2SOQ"/>
    <hyperlink ref="B439" r:id="rId_hyperlink_875" tooltip="https://www.diodes.com/datasheet/download/DRTR5V0U2SR.pdf" display="https://www.diodes.com/datasheet/download/DRTR5V0U2SR.pdf"/>
    <hyperlink ref="C439" r:id="rId_hyperlink_876" tooltip="DRTR5V0U2SR" display="DRTR5V0U2SR"/>
    <hyperlink ref="B440" r:id="rId_hyperlink_877" tooltip="https://www.diodes.com/datasheet/download/DRTR5V0U2SRQ.pdf" display="https://www.diodes.com/datasheet/download/DRTR5V0U2SRQ.pdf"/>
    <hyperlink ref="C440" r:id="rId_hyperlink_878" tooltip="DRTR5V0U2SRQ" display="DRTR5V0U2SRQ"/>
    <hyperlink ref="B441" r:id="rId_hyperlink_879" tooltip="https://www.diodes.com/datasheet/download/DRTR5V0U4LP16.pdf" display="https://www.diodes.com/datasheet/download/DRTR5V0U4LP16.pdf"/>
    <hyperlink ref="C441" r:id="rId_hyperlink_880" tooltip="DRTR5V0U4LP16" display="DRTR5V0U4LP16"/>
    <hyperlink ref="B442" r:id="rId_hyperlink_881" tooltip="https://www.diodes.com/datasheet/download/DRTR5V0U4S.pdf" display="https://www.diodes.com/datasheet/download/DRTR5V0U4S.pdf"/>
    <hyperlink ref="C442" r:id="rId_hyperlink_882" tooltip="DRTR5V0U4S" display="DRTR5V0U4S"/>
    <hyperlink ref="B443" r:id="rId_hyperlink_883" tooltip="https://www.diodes.com/datasheet/download/DRTR5V0U4SL.pdf" display="https://www.diodes.com/datasheet/download/DRTR5V0U4SL.pdf"/>
    <hyperlink ref="C443" r:id="rId_hyperlink_884" tooltip="DRTR5V0U4SL" display="DRTR5V0U4SL"/>
    <hyperlink ref="B444" r:id="rId_hyperlink_885" tooltip="https://www.diodes.com/datasheet/download/DT1042-02SR.pdf" display="https://www.diodes.com/datasheet/download/DT1042-02SR.pdf"/>
    <hyperlink ref="C444" r:id="rId_hyperlink_886" tooltip="DT1042-02SR" display="DT1042-02SR"/>
    <hyperlink ref="B445" r:id="rId_hyperlink_887" tooltip="https://www.diodes.com/datasheet/download/DT1042-02SRQ.pdf" display="https://www.diodes.com/datasheet/download/DT1042-02SRQ.pdf"/>
    <hyperlink ref="C445" r:id="rId_hyperlink_888" tooltip="DT1042-02SRQ" display="DT1042-02SRQ"/>
    <hyperlink ref="B446" r:id="rId_hyperlink_889" tooltip="https://www.diodes.com/datasheet/download/DT1042-04SO.pdf" display="https://www.diodes.com/datasheet/download/DT1042-04SO.pdf"/>
    <hyperlink ref="C446" r:id="rId_hyperlink_890" tooltip="DT1042-04SO" display="DT1042-04SO"/>
    <hyperlink ref="B447" r:id="rId_hyperlink_891" tooltip="https://www.diodes.com/datasheet/download/DT1042-04SOQ.pdf" display="https://www.diodes.com/datasheet/download/DT1042-04SOQ.pdf"/>
    <hyperlink ref="C447" r:id="rId_hyperlink_892" tooltip="DT1042-04SOQ" display="DT1042-04SOQ"/>
    <hyperlink ref="B448" r:id="rId_hyperlink_893" tooltip="https://www.diodes.com/datasheet/download/DT1042-04TS.pdf" display="https://www.diodes.com/datasheet/download/DT1042-04TS.pdf"/>
    <hyperlink ref="C448" r:id="rId_hyperlink_894" tooltip="DT1042-04TS" display="DT1042-04TS"/>
    <hyperlink ref="B449" r:id="rId_hyperlink_895" tooltip="https://www.diodes.com/datasheet/download/DT1140-04LP.pdf" display="https://www.diodes.com/datasheet/download/DT1140-04LP.pdf"/>
    <hyperlink ref="C449" r:id="rId_hyperlink_896" tooltip="DT1140-04LP" display="DT1140-04LP"/>
    <hyperlink ref="B450" r:id="rId_hyperlink_897" tooltip="https://www.diodes.com/datasheet/download/DT1140-04LPQ.pdf" display="https://www.diodes.com/datasheet/download/DT1140-04LPQ.pdf"/>
    <hyperlink ref="C450" r:id="rId_hyperlink_898" tooltip="DT1140-04LPQ" display="DT1140-04LPQ"/>
    <hyperlink ref="B451" r:id="rId_hyperlink_899" tooltip="https://www.diodes.com/datasheet/download/DT1240-04LP.pdf" display="https://www.diodes.com/datasheet/download/DT1240-04LP.pdf"/>
    <hyperlink ref="C451" r:id="rId_hyperlink_900" tooltip="DT1240-04LP" display="DT1240-04LP"/>
    <hyperlink ref="B452" r:id="rId_hyperlink_901" tooltip="https://www.diodes.com/datasheet/download/DT1240-04LP20.pdf" display="https://www.diodes.com/datasheet/download/DT1240-04LP20.pdf"/>
    <hyperlink ref="C452" r:id="rId_hyperlink_902" tooltip="DT1240-04LP20" display="DT1240-04LP20"/>
    <hyperlink ref="B453" r:id="rId_hyperlink_903" tooltip="https://www.diodes.com/datasheet/download/DT1240-04LPQ.pdf" display="https://www.diodes.com/datasheet/download/DT1240-04LPQ.pdf"/>
    <hyperlink ref="C453" r:id="rId_hyperlink_904" tooltip="DT1240-04LPQ" display="DT1240-04LPQ"/>
    <hyperlink ref="B454" r:id="rId_hyperlink_905" tooltip="https://www.diodes.com/datasheet/download/DT1240-08LP3810.pdf" display="https://www.diodes.com/datasheet/download/DT1240-08LP3810.pdf"/>
    <hyperlink ref="C454" r:id="rId_hyperlink_906" tooltip="DT1240-08LP3810" display="DT1240-08LP3810"/>
    <hyperlink ref="B455" r:id="rId_hyperlink_907" tooltip="https://www.diodes.com/datasheet/download/DT1240A-04LP.pdf" display="https://www.diodes.com/datasheet/download/DT1240A-04LP.pdf"/>
    <hyperlink ref="C455" r:id="rId_hyperlink_908" tooltip="DT1240A-04LP" display="DT1240A-04LP"/>
    <hyperlink ref="B456" r:id="rId_hyperlink_909" tooltip="https://www.diodes.com/datasheet/download/DT1240A-04LP20.pdf" display="https://www.diodes.com/datasheet/download/DT1240A-04LP20.pdf"/>
    <hyperlink ref="C456" r:id="rId_hyperlink_910" tooltip="DT1240A-04LP20" display="DT1240A-04LP20"/>
    <hyperlink ref="B457" r:id="rId_hyperlink_911" tooltip="https://www.diodes.com/datasheet/download/DT1240A-04LPQ.pdf" display="https://www.diodes.com/datasheet/download/DT1240A-04LPQ.pdf"/>
    <hyperlink ref="C457" r:id="rId_hyperlink_912" tooltip="DT1240A-04LPQ" display="DT1240A-04LPQ"/>
    <hyperlink ref="B458" r:id="rId_hyperlink_913" tooltip="https://www.diodes.com/datasheet/download/DT1240A-08LP3810.pdf" display="https://www.diodes.com/datasheet/download/DT1240A-08LP3810.pdf"/>
    <hyperlink ref="C458" r:id="rId_hyperlink_914" tooltip="DT1240A-08LP3810" display="DT1240A-08LP3810"/>
    <hyperlink ref="B459" r:id="rId_hyperlink_915" tooltip="https://www.diodes.com/datasheet/download/DT1240A-08LP3810Q.pdf" display="https://www.diodes.com/datasheet/download/DT1240A-08LP3810Q.pdf"/>
    <hyperlink ref="C459" r:id="rId_hyperlink_916" tooltip="DT1240A-08LP3810Q" display="DT1240A-08LP3810Q"/>
    <hyperlink ref="B460" r:id="rId_hyperlink_917" tooltip="https://www.diodes.com/datasheet/download/DT1240E-04LP.pdf" display="https://www.diodes.com/datasheet/download/DT1240E-04LP.pdf"/>
    <hyperlink ref="C460" r:id="rId_hyperlink_918" tooltip="DT1240E-04LP" display="DT1240E-04LP"/>
    <hyperlink ref="B461" r:id="rId_hyperlink_919" tooltip="https://www.diodes.com/datasheet/download/DT1240V3-04LP.pdf" display="https://www.diodes.com/datasheet/download/DT1240V3-04LP.pdf"/>
    <hyperlink ref="C461" r:id="rId_hyperlink_920" tooltip="DT1240V3-04LP" display="DT1240V3-04LP"/>
    <hyperlink ref="B462" r:id="rId_hyperlink_921" tooltip="https://www.diodes.com/datasheet/download/DT1240V3-04SO.pdf" display="https://www.diodes.com/datasheet/download/DT1240V3-04SO.pdf"/>
    <hyperlink ref="C462" r:id="rId_hyperlink_922" tooltip="DT1240V3-04SO" display="DT1240V3-04SO"/>
    <hyperlink ref="B463" r:id="rId_hyperlink_923" tooltip="https://www.diodes.com/datasheet/download/DT1446-04S.pdf" display="https://www.diodes.com/datasheet/download/DT1446-04S.pdf"/>
    <hyperlink ref="C463" r:id="rId_hyperlink_924" tooltip="DT1446-04S" display="DT1446-04S"/>
    <hyperlink ref="B464" r:id="rId_hyperlink_925" tooltip="https://www.diodes.com/datasheet/download/DT1446-04SO.pdf" display="https://www.diodes.com/datasheet/download/DT1446-04SO.pdf"/>
    <hyperlink ref="C464" r:id="rId_hyperlink_926" tooltip="DT1446-04SO" display="DT1446-04SO"/>
    <hyperlink ref="B465" r:id="rId_hyperlink_927" tooltip="https://www.diodes.com/datasheet/download/DT1446-04TS.pdf" display="https://www.diodes.com/datasheet/download/DT1446-04TS.pdf"/>
    <hyperlink ref="C465" r:id="rId_hyperlink_928" tooltip="DT1446-04TS" display="DT1446-04TS"/>
    <hyperlink ref="B466" r:id="rId_hyperlink_929" tooltip="https://www.diodes.com/datasheet/download/DT1446-04V.pdf" display="https://www.diodes.com/datasheet/download/DT1446-04V.pdf"/>
    <hyperlink ref="C466" r:id="rId_hyperlink_930" tooltip="DT1446-04V" display="DT1446-04V"/>
    <hyperlink ref="B467" r:id="rId_hyperlink_931" tooltip="https://www.diodes.com/datasheet/download/DT1452-02SO.pdf" display="https://www.diodes.com/datasheet/download/DT1452-02SO.pdf"/>
    <hyperlink ref="C467" r:id="rId_hyperlink_932" tooltip="DT1452-02SO" display="DT1452-02SO"/>
    <hyperlink ref="B468" r:id="rId_hyperlink_933" tooltip="https://www.diodes.com/datasheet/download/DT1452-02SOQ.pdf" display="https://www.diodes.com/datasheet/download/DT1452-02SOQ.pdf"/>
    <hyperlink ref="C468" r:id="rId_hyperlink_934" tooltip="DT1452-02SOQ" display="DT1452-02SOQ"/>
    <hyperlink ref="B469" r:id="rId_hyperlink_935" tooltip="https://www.diodes.com/datasheet/download/DT2041-04SO.pdf" display="https://www.diodes.com/datasheet/download/DT2041-04SO.pdf"/>
    <hyperlink ref="C469" r:id="rId_hyperlink_936" tooltip="DT2041-04SO" display="DT2041-04SO"/>
    <hyperlink ref="B470" r:id="rId_hyperlink_937" tooltip="https://www.diodes.com/datasheet/download/DT2042-04SO.pdf" display="https://www.diodes.com/datasheet/download/DT2042-04SO.pdf"/>
    <hyperlink ref="C470" r:id="rId_hyperlink_938" tooltip="DT2042-04SO" display="DT2042-04SO"/>
    <hyperlink ref="B471" r:id="rId_hyperlink_939" tooltip="https://www.diodes.com/datasheet/download/DT2042-04SOQ.pdf" display="https://www.diodes.com/datasheet/download/DT2042-04SOQ.pdf"/>
    <hyperlink ref="C471" r:id="rId_hyperlink_940" tooltip="DT2042-04SOQ" display="DT2042-04SOQ"/>
    <hyperlink ref="B472" r:id="rId_hyperlink_941" tooltip="https://www.diodes.com/datasheet/download/DT2042-04TS.pdf" display="https://www.diodes.com/datasheet/download/DT2042-04TS.pdf"/>
    <hyperlink ref="C472" r:id="rId_hyperlink_942" tooltip="DT2042-04TS" display="DT2042-04TS"/>
    <hyperlink ref="B473" r:id="rId_hyperlink_943" tooltip="https://www.diodes.com/datasheet/download/DT2636-04S.pdf" display="https://www.diodes.com/datasheet/download/DT2636-04S.pdf"/>
    <hyperlink ref="C473" r:id="rId_hyperlink_944" tooltip="DT2636-04S" display="DT2636-04S"/>
    <hyperlink ref="B474" r:id="rId_hyperlink_945" tooltip="https://www.diodes.com/datasheet/download/DT6250-06MR.pdf" display="https://www.diodes.com/datasheet/download/DT6250-06MR.pdf"/>
    <hyperlink ref="C474" r:id="rId_hyperlink_946" tooltip="DT6250-06MR" display="DT6250-06MR"/>
    <hyperlink ref="B475" r:id="rId_hyperlink_947" tooltip="https://www.diodes.com/datasheet/download/DTVS20SP4UR.pdf" display="https://www.diodes.com/datasheet/download/DTVS20SP4UR.pdf"/>
    <hyperlink ref="C475" r:id="rId_hyperlink_948" tooltip="DTVS20SP4UR" display="DTVS20SP4UR"/>
    <hyperlink ref="B476" r:id="rId_hyperlink_949" tooltip="https://www.diodes.com/datasheet/download/DTVS22SP4UR.pdf" display="https://www.diodes.com/datasheet/download/DTVS22SP4UR.pdf"/>
    <hyperlink ref="C476" r:id="rId_hyperlink_950" tooltip="DTVS22SP4UR" display="DTVS22SP4UR"/>
    <hyperlink ref="B477" r:id="rId_hyperlink_951" tooltip="https://www.diodes.com/datasheet/download/DUP1105SOQ.pdf" display="https://www.diodes.com/datasheet/download/DUP1105SOQ.pdf"/>
    <hyperlink ref="C477" r:id="rId_hyperlink_952" tooltip="DUP1105SOQ" display="DUP1105SOQ"/>
    <hyperlink ref="B478" r:id="rId_hyperlink_953" tooltip="https://www.diodes.com/datasheet/download/DUP2105SOQ.pdf" display="https://www.diodes.com/datasheet/download/DUP2105SOQ.pdf"/>
    <hyperlink ref="C478" r:id="rId_hyperlink_954" tooltip="DUP2105SOQ" display="DUP2105SOQ"/>
    <hyperlink ref="B479" r:id="rId_hyperlink_955" tooltip="https://www.diodes.com/datasheet/download/DUP3105SOQ.pdf" display="https://www.diodes.com/datasheet/download/DUP3105SOQ.pdf"/>
    <hyperlink ref="C479" r:id="rId_hyperlink_956" tooltip="DUP3105SOQ" display="DUP3105SOQ"/>
    <hyperlink ref="B480" r:id="rId_hyperlink_957" tooltip="https://www.diodes.com/datasheet/download/DZQA5V6AXV5.pdf" display="https://www.diodes.com/datasheet/download/DZQA5V6AXV5.pdf"/>
    <hyperlink ref="C480" r:id="rId_hyperlink_958" tooltip="DZQA5V6AXV5" display="DZQA5V6AXV5"/>
    <hyperlink ref="B481" r:id="rId_hyperlink_959" tooltip="https://www.diodes.com/datasheet/download/DZQA6V8AXV5.pdf" display="https://www.diodes.com/datasheet/download/DZQA6V8AXV5.pdf"/>
    <hyperlink ref="C481" r:id="rId_hyperlink_960" tooltip="DZQA6V8AXV5" display="DZQA6V8AXV5"/>
    <hyperlink ref="B482" r:id="rId_hyperlink_961" tooltip="https://www.diodes.com/datasheet/download/L25L5V0CB2.pdf" display="https://www.diodes.com/datasheet/download/L25L5V0CB2.pdf"/>
    <hyperlink ref="C482" r:id="rId_hyperlink_962" tooltip="L25L5V0CB2" display="L25L5V0CB2"/>
    <hyperlink ref="B483" r:id="rId_hyperlink_963" tooltip="https://www.diodes.com/datasheet/download/L30ESD5V0AC3-2.pdf" display="https://www.diodes.com/datasheet/download/L30ESD5V0AC3-2.pdf"/>
    <hyperlink ref="C483" r:id="rId_hyperlink_964" tooltip="L30ESD5V0AC3-2" display="L30ESD5V0AC3-2"/>
    <hyperlink ref="B484" r:id="rId_hyperlink_965" tooltip="https://www.diodes.com/datasheet/download/L50L5V0CB2.pdf" display="https://www.diodes.com/datasheet/download/L50L5V0CB2.pdf"/>
    <hyperlink ref="C484" r:id="rId_hyperlink_966" tooltip="L50L5V0CB2" display="L50L5V0CB2"/>
    <hyperlink ref="B485" r:id="rId_hyperlink_967" tooltip="https://www.diodes.com/datasheet/download/ds45190.pdf" display="https://www.diodes.com/datasheet/download/ds45190.pdf"/>
    <hyperlink ref="C485" r:id="rId_hyperlink_968" tooltip="MMBZ10VALA" display="MMBZ10VALA"/>
    <hyperlink ref="B486" r:id="rId_hyperlink_969" tooltip="https://www.diodes.com/datasheet/download/ds45282.pdf" display="https://www.diodes.com/datasheet/download/ds45282.pdf"/>
    <hyperlink ref="C486" r:id="rId_hyperlink_970" tooltip="MMBZ10VALAQ" display="MMBZ10VALAQ"/>
    <hyperlink ref="B487" r:id="rId_hyperlink_971" tooltip="https://www.diodes.com/datasheet/download/ds45434.pdf" display="https://www.diodes.com/datasheet/download/ds45434.pdf"/>
    <hyperlink ref="C487" r:id="rId_hyperlink_972" tooltip="MMBZ10VCLA" display="MMBZ10VCLA"/>
    <hyperlink ref="B488" r:id="rId_hyperlink_973" tooltip="https://www.diodes.com/datasheet/download/ds46087.pdf" display="https://www.diodes.com/datasheet/download/ds46087.pdf"/>
    <hyperlink ref="C488" r:id="rId_hyperlink_974" tooltip="MMBZ10VCLAQ" display="MMBZ10VCLAQ"/>
    <hyperlink ref="B489" r:id="rId_hyperlink_975" tooltip="https://www.diodes.com/datasheet/download/ds45190.pdf" display="https://www.diodes.com/datasheet/download/ds45190.pdf"/>
    <hyperlink ref="C489" r:id="rId_hyperlink_976" tooltip="MMBZ15VALA" display="MMBZ15VALA"/>
    <hyperlink ref="B490" r:id="rId_hyperlink_977" tooltip="https://www.diodes.com/datasheet/download/ds45282.pdf" display="https://www.diodes.com/datasheet/download/ds45282.pdf"/>
    <hyperlink ref="C490" r:id="rId_hyperlink_978" tooltip="MMBZ15VALAQ" display="MMBZ15VALAQ"/>
    <hyperlink ref="B491" r:id="rId_hyperlink_979" tooltip="https://www.diodes.com/datasheet/download/ds45434.pdf" display="https://www.diodes.com/datasheet/download/ds45434.pdf"/>
    <hyperlink ref="C491" r:id="rId_hyperlink_980" tooltip="MMBZ15VCLA" display="MMBZ15VCLA"/>
    <hyperlink ref="B492" r:id="rId_hyperlink_981" tooltip="https://www.diodes.com/datasheet/download/ds46087.pdf" display="https://www.diodes.com/datasheet/download/ds46087.pdf"/>
    <hyperlink ref="C492" r:id="rId_hyperlink_982" tooltip="MMBZ15VCLAQ" display="MMBZ15VCLAQ"/>
    <hyperlink ref="B493" r:id="rId_hyperlink_983" tooltip="https://www.diodes.com/datasheet/download/ds45190.pdf" display="https://www.diodes.com/datasheet/download/ds45190.pdf"/>
    <hyperlink ref="C493" r:id="rId_hyperlink_984" tooltip="MMBZ18VALA" display="MMBZ18VALA"/>
    <hyperlink ref="B494" r:id="rId_hyperlink_985" tooltip="https://www.diodes.com/datasheet/download/ds45282.pdf" display="https://www.diodes.com/datasheet/download/ds45282.pdf"/>
    <hyperlink ref="C494" r:id="rId_hyperlink_986" tooltip="MMBZ18VALAQ" display="MMBZ18VALAQ"/>
    <hyperlink ref="B495" r:id="rId_hyperlink_987" tooltip="https://www.diodes.com/datasheet/download/ds45434.pdf" display="https://www.diodes.com/datasheet/download/ds45434.pdf"/>
    <hyperlink ref="C495" r:id="rId_hyperlink_988" tooltip="MMBZ18VCLA" display="MMBZ18VCLA"/>
    <hyperlink ref="B496" r:id="rId_hyperlink_989" tooltip="https://www.diodes.com/datasheet/download/ds46087.pdf" display="https://www.diodes.com/datasheet/download/ds46087.pdf"/>
    <hyperlink ref="C496" r:id="rId_hyperlink_990" tooltip="MMBZ18VCLAQ" display="MMBZ18VCLAQ"/>
    <hyperlink ref="B497" r:id="rId_hyperlink_991" tooltip="https://www.diodes.com/datasheet/download/ds45190.pdf" display="https://www.diodes.com/datasheet/download/ds45190.pdf"/>
    <hyperlink ref="C497" r:id="rId_hyperlink_992" tooltip="MMBZ20VALA" display="MMBZ20VALA"/>
    <hyperlink ref="B498" r:id="rId_hyperlink_993" tooltip="https://www.diodes.com/datasheet/download/ds45282.pdf" display="https://www.diodes.com/datasheet/download/ds45282.pdf"/>
    <hyperlink ref="C498" r:id="rId_hyperlink_994" tooltip="MMBZ20VALAQ" display="MMBZ20VALAQ"/>
    <hyperlink ref="B499" r:id="rId_hyperlink_995" tooltip="https://www.diodes.com/datasheet/download/ds45434.pdf" display="https://www.diodes.com/datasheet/download/ds45434.pdf"/>
    <hyperlink ref="C499" r:id="rId_hyperlink_996" tooltip="MMBZ20VCLA" display="MMBZ20VCLA"/>
    <hyperlink ref="B500" r:id="rId_hyperlink_997" tooltip="https://www.diodes.com/datasheet/download/ds46087.pdf" display="https://www.diodes.com/datasheet/download/ds46087.pdf"/>
    <hyperlink ref="C500" r:id="rId_hyperlink_998" tooltip="MMBZ20VCLAQ" display="MMBZ20VCLAQ"/>
    <hyperlink ref="B501" r:id="rId_hyperlink_999" tooltip="https://www.diodes.com/datasheet/download/ds45190.pdf" display="https://www.diodes.com/datasheet/download/ds45190.pdf"/>
    <hyperlink ref="C501" r:id="rId_hyperlink_1000" tooltip="MMBZ27VALA" display="MMBZ27VALA"/>
    <hyperlink ref="B502" r:id="rId_hyperlink_1001" tooltip="https://www.diodes.com/datasheet/download/ds45282.pdf" display="https://www.diodes.com/datasheet/download/ds45282.pdf"/>
    <hyperlink ref="C502" r:id="rId_hyperlink_1002" tooltip="MMBZ27VALAQ" display="MMBZ27VALAQ"/>
    <hyperlink ref="B503" r:id="rId_hyperlink_1003" tooltip="https://www.diodes.com/datasheet/download/ds45434.pdf" display="https://www.diodes.com/datasheet/download/ds45434.pdf"/>
    <hyperlink ref="C503" r:id="rId_hyperlink_1004" tooltip="MMBZ27VCLA" display="MMBZ27VCLA"/>
    <hyperlink ref="B504" r:id="rId_hyperlink_1005" tooltip="https://www.diodes.com/datasheet/download/ds46087.pdf" display="https://www.diodes.com/datasheet/download/ds46087.pdf"/>
    <hyperlink ref="C504" r:id="rId_hyperlink_1006" tooltip="MMBZ27VCLAQ" display="MMBZ27VCLAQ"/>
    <hyperlink ref="B505" r:id="rId_hyperlink_1007" tooltip="https://www.diodes.com/datasheet/download/ds45190.pdf" display="https://www.diodes.com/datasheet/download/ds45190.pdf"/>
    <hyperlink ref="C505" r:id="rId_hyperlink_1008" tooltip="MMBZ33VALA" display="MMBZ33VALA"/>
    <hyperlink ref="B506" r:id="rId_hyperlink_1009" tooltip="https://www.diodes.com/datasheet/download/ds45282.pdf" display="https://www.diodes.com/datasheet/download/ds45282.pdf"/>
    <hyperlink ref="C506" r:id="rId_hyperlink_1010" tooltip="MMBZ33VALAQ" display="MMBZ33VALAQ"/>
    <hyperlink ref="B507" r:id="rId_hyperlink_1011" tooltip="https://www.diodes.com/datasheet/download/ds45434.pdf" display="https://www.diodes.com/datasheet/download/ds45434.pdf"/>
    <hyperlink ref="C507" r:id="rId_hyperlink_1012" tooltip="MMBZ33VCLA" display="MMBZ33VCLA"/>
    <hyperlink ref="B508" r:id="rId_hyperlink_1013" tooltip="https://www.diodes.com/datasheet/download/ds46087.pdf" display="https://www.diodes.com/datasheet/download/ds46087.pdf"/>
    <hyperlink ref="C508" r:id="rId_hyperlink_1014" tooltip="MMBZ33VCLAQ" display="MMBZ33VCLAQ"/>
    <hyperlink ref="B509" r:id="rId_hyperlink_1015" tooltip="https://www.diodes.com/datasheet/download/ds45190.pdf" display="https://www.diodes.com/datasheet/download/ds45190.pdf"/>
    <hyperlink ref="C509" r:id="rId_hyperlink_1016" tooltip="MMBZ5V6ALA" display="MMBZ5V6ALA"/>
    <hyperlink ref="B510" r:id="rId_hyperlink_1017" tooltip="https://www.diodes.com/datasheet/download/ds45282.pdf" display="https://www.diodes.com/datasheet/download/ds45282.pdf"/>
    <hyperlink ref="C510" r:id="rId_hyperlink_1018" tooltip="MMBZ5V6ALAQ" display="MMBZ5V6ALAQ"/>
    <hyperlink ref="B511" r:id="rId_hyperlink_1019" tooltip="https://www.diodes.com/datasheet/download/ds45434.pdf" display="https://www.diodes.com/datasheet/download/ds45434.pdf"/>
    <hyperlink ref="C511" r:id="rId_hyperlink_1020" tooltip="MMBZ5V6CLA" display="MMBZ5V6CLA"/>
    <hyperlink ref="B512" r:id="rId_hyperlink_1021" tooltip="https://www.diodes.com/datasheet/download/ds46087.pdf" display="https://www.diodes.com/datasheet/download/ds46087.pdf"/>
    <hyperlink ref="C512" r:id="rId_hyperlink_1022" tooltip="MMBZ5V6CLAQ" display="MMBZ5V6CLAQ"/>
    <hyperlink ref="B513" r:id="rId_hyperlink_1023" tooltip="https://www.diodes.com/datasheet/download/ds45190.pdf" display="https://www.diodes.com/datasheet/download/ds45190.pdf"/>
    <hyperlink ref="C513" r:id="rId_hyperlink_1024" tooltip="MMBZ6V2ALA" display="MMBZ6V2ALA"/>
    <hyperlink ref="B514" r:id="rId_hyperlink_1025" tooltip="https://www.diodes.com/datasheet/download/ds45282.pdf" display="https://www.diodes.com/datasheet/download/ds45282.pdf"/>
    <hyperlink ref="C514" r:id="rId_hyperlink_1026" tooltip="MMBZ6V2ALAQ" display="MMBZ6V2ALAQ"/>
    <hyperlink ref="B515" r:id="rId_hyperlink_1027" tooltip="https://www.diodes.com/datasheet/download/ds45434.pdf" display="https://www.diodes.com/datasheet/download/ds45434.pdf"/>
    <hyperlink ref="C515" r:id="rId_hyperlink_1028" tooltip="MMBZ6V2CLA" display="MMBZ6V2CLA"/>
    <hyperlink ref="B516" r:id="rId_hyperlink_1029" tooltip="https://www.diodes.com/datasheet/download/ds46087.pdf" display="https://www.diodes.com/datasheet/download/ds46087.pdf"/>
    <hyperlink ref="C516" r:id="rId_hyperlink_1030" tooltip="MMBZ6V2CLAQ" display="MMBZ6V2CLAQ"/>
    <hyperlink ref="B517" r:id="rId_hyperlink_1031" tooltip="https://www.diodes.com/datasheet/download/ds45190.pdf" display="https://www.diodes.com/datasheet/download/ds45190.pdf"/>
    <hyperlink ref="C517" r:id="rId_hyperlink_1032" tooltip="MMBZ6V8ALA" display="MMBZ6V8ALA"/>
    <hyperlink ref="B518" r:id="rId_hyperlink_1033" tooltip="https://www.diodes.com/datasheet/download/ds45282.pdf" display="https://www.diodes.com/datasheet/download/ds45282.pdf"/>
    <hyperlink ref="C518" r:id="rId_hyperlink_1034" tooltip="MMBZ6V8ALAQ" display="MMBZ6V8ALAQ"/>
    <hyperlink ref="B519" r:id="rId_hyperlink_1035" tooltip="https://www.diodes.com/datasheet/download/ds45434.pdf" display="https://www.diodes.com/datasheet/download/ds45434.pdf"/>
    <hyperlink ref="C519" r:id="rId_hyperlink_1036" tooltip="MMBZ6V8CLA" display="MMBZ6V8CLA"/>
    <hyperlink ref="B520" r:id="rId_hyperlink_1037" tooltip="https://www.diodes.com/datasheet/download/ds46087.pdf" display="https://www.diodes.com/datasheet/download/ds46087.pdf"/>
    <hyperlink ref="C520" r:id="rId_hyperlink_1038" tooltip="MMBZ6V8CLAQ" display="MMBZ6V8CLAQ"/>
    <hyperlink ref="B521" r:id="rId_hyperlink_1039" tooltip="https://www.diodes.com/datasheet/download/ds45190.pdf" display="https://www.diodes.com/datasheet/download/ds45190.pdf"/>
    <hyperlink ref="C521" r:id="rId_hyperlink_1040" tooltip="MMBZ9V1ALA" display="MMBZ9V1ALA"/>
    <hyperlink ref="B522" r:id="rId_hyperlink_1041" tooltip="https://www.diodes.com/datasheet/download/ds45282.pdf" display="https://www.diodes.com/datasheet/download/ds45282.pdf"/>
    <hyperlink ref="C522" r:id="rId_hyperlink_1042" tooltip="MMBZ9V1ALAQ" display="MMBZ9V1ALAQ"/>
    <hyperlink ref="B523" r:id="rId_hyperlink_1043" tooltip="https://www.diodes.com/datasheet/download/ds45434.pdf" display="https://www.diodes.com/datasheet/download/ds45434.pdf"/>
    <hyperlink ref="C523" r:id="rId_hyperlink_1044" tooltip="MMBZ9V1CLA" display="MMBZ9V1CLA"/>
    <hyperlink ref="B524" r:id="rId_hyperlink_1045" tooltip="https://www.diodes.com/datasheet/download/ds46087.pdf" display="https://www.diodes.com/datasheet/download/ds46087.pdf"/>
    <hyperlink ref="C524" r:id="rId_hyperlink_1046" tooltip="MMBZ9V1CLAQ" display="MMBZ9V1CLAQ"/>
    <hyperlink ref="B525" r:id="rId_hyperlink_1047" tooltip="https://www.diodes.com/datasheet/download/SD03.pdf" display="https://www.diodes.com/datasheet/download/SD03.pdf"/>
    <hyperlink ref="C525" r:id="rId_hyperlink_1048" tooltip="SD03" display="SD03"/>
    <hyperlink ref="B526" r:id="rId_hyperlink_1049" tooltip="https://www.diodes.com/datasheet/download/SD03C.pdf" display="https://www.diodes.com/datasheet/download/SD03C.pdf"/>
    <hyperlink ref="C526" r:id="rId_hyperlink_1050" tooltip="SD03C" display="SD03C"/>
    <hyperlink ref="B527" r:id="rId_hyperlink_1051" tooltip="https://www.diodes.com/datasheet/download/SD03CQ.pdf" display="https://www.diodes.com/datasheet/download/SD03CQ.pdf"/>
    <hyperlink ref="C527" r:id="rId_hyperlink_1052" tooltip="SD03CQ" display="SD03CQ"/>
    <hyperlink ref="B528" r:id="rId_hyperlink_1053" tooltip="https://www.diodes.com/datasheet/download/SD05A.pdf" display="https://www.diodes.com/datasheet/download/SD05A.pdf"/>
    <hyperlink ref="C528" r:id="rId_hyperlink_1054" tooltip="SD05A" display="SD05A"/>
    <hyperlink ref="B529" r:id="rId_hyperlink_1055" tooltip="https://www.diodes.com/datasheet/download/SD05C.pdf" display="https://www.diodes.com/datasheet/download/SD05C.pdf"/>
    <hyperlink ref="C529" r:id="rId_hyperlink_1056" tooltip="SD05C" display="SD05C"/>
    <hyperlink ref="B530" r:id="rId_hyperlink_1057" tooltip="https://www.diodes.com/datasheet/download/SD05CQ.pdf" display="https://www.diodes.com/datasheet/download/SD05CQ.pdf"/>
    <hyperlink ref="C530" r:id="rId_hyperlink_1058" tooltip="SD05CQ" display="SD05CQ"/>
    <hyperlink ref="B531" r:id="rId_hyperlink_1059" tooltip="https://www.diodes.com/datasheet/download/SD09.pdf" display="https://www.diodes.com/datasheet/download/SD09.pdf"/>
    <hyperlink ref="C531" r:id="rId_hyperlink_1060" tooltip="SD09" display="SD09"/>
    <hyperlink ref="B532" r:id="rId_hyperlink_1061" tooltip="https://www.diodes.com/datasheet/download/SD09C.pdf" display="https://www.diodes.com/datasheet/download/SD09C.pdf"/>
    <hyperlink ref="C532" r:id="rId_hyperlink_1062" tooltip="SD09C" display="SD09C"/>
    <hyperlink ref="B533" r:id="rId_hyperlink_1063" tooltip="https://www.diodes.com/datasheet/download/SD09CQ.pdf" display="https://www.diodes.com/datasheet/download/SD09CQ.pdf"/>
    <hyperlink ref="C533" r:id="rId_hyperlink_1064" tooltip="SD09CQ" display="SD09CQ"/>
    <hyperlink ref="B534" r:id="rId_hyperlink_1065" tooltip="https://www.diodes.com/datasheet/download/SD12.pdf" display="https://www.diodes.com/datasheet/download/SD12.pdf"/>
    <hyperlink ref="C534" r:id="rId_hyperlink_1066" tooltip="SD12" display="SD12"/>
    <hyperlink ref="B535" r:id="rId_hyperlink_1067" tooltip="https://www.diodes.com/datasheet/download/SD12A.pdf" display="https://www.diodes.com/datasheet/download/SD12A.pdf"/>
    <hyperlink ref="C535" r:id="rId_hyperlink_1068" tooltip="SD12A" display="SD12A"/>
    <hyperlink ref="B536" r:id="rId_hyperlink_1069" tooltip="https://www.diodes.com/datasheet/download/SD12C.pdf" display="https://www.diodes.com/datasheet/download/SD12C.pdf"/>
    <hyperlink ref="C536" r:id="rId_hyperlink_1070" tooltip="SD12C" display="SD12C"/>
    <hyperlink ref="B537" r:id="rId_hyperlink_1071" tooltip="https://www.diodes.com/datasheet/download/SD12CQ.pdf" display="https://www.diodes.com/datasheet/download/SD12CQ.pdf"/>
    <hyperlink ref="C537" r:id="rId_hyperlink_1072" tooltip="SD12CQ" display="SD12CQ"/>
    <hyperlink ref="B538" r:id="rId_hyperlink_1073" tooltip="https://www.diodes.com/datasheet/download/SD12Q.pdf" display="https://www.diodes.com/datasheet/download/SD12Q.pdf"/>
    <hyperlink ref="C538" r:id="rId_hyperlink_1074" tooltip="SD12Q" display="SD12Q"/>
    <hyperlink ref="B539" r:id="rId_hyperlink_1075" tooltip="https://www.diodes.com/datasheet/download/SD15.pdf" display="https://www.diodes.com/datasheet/download/SD15.pdf"/>
    <hyperlink ref="C539" r:id="rId_hyperlink_1076" tooltip="SD15" display="SD15"/>
    <hyperlink ref="B540" r:id="rId_hyperlink_1077" tooltip="https://www.diodes.com/datasheet/download/SD15C.pdf" display="https://www.diodes.com/datasheet/download/SD15C.pdf"/>
    <hyperlink ref="C540" r:id="rId_hyperlink_1078" tooltip="SD15C" display="SD15C"/>
    <hyperlink ref="B541" r:id="rId_hyperlink_1079" tooltip="https://www.diodes.com/datasheet/download/SD15CQ.pdf" display="https://www.diodes.com/datasheet/download/SD15CQ.pdf"/>
    <hyperlink ref="C541" r:id="rId_hyperlink_1080" tooltip="SD15CQ" display="SD15CQ"/>
    <hyperlink ref="B542" r:id="rId_hyperlink_1081" tooltip="https://www.diodes.com/datasheet/download/SD15Q.pdf" display="https://www.diodes.com/datasheet/download/SD15Q.pdf"/>
    <hyperlink ref="C542" r:id="rId_hyperlink_1082" tooltip="SD15Q" display="SD15Q"/>
    <hyperlink ref="B543" r:id="rId_hyperlink_1083" tooltip="https://www.diodes.com/datasheet/download/SD18.pdf" display="https://www.diodes.com/datasheet/download/SD18.pdf"/>
    <hyperlink ref="C543" r:id="rId_hyperlink_1084" tooltip="SD18" display="SD18"/>
    <hyperlink ref="B544" r:id="rId_hyperlink_1085" tooltip="https://www.diodes.com/datasheet/download/SD20.pdf" display="https://www.diodes.com/datasheet/download/SD20.pdf"/>
    <hyperlink ref="C544" r:id="rId_hyperlink_1086" tooltip="SD20" display="SD20"/>
    <hyperlink ref="B545" r:id="rId_hyperlink_1087" tooltip="https://www.diodes.com/datasheet/download/SD20C.pdf" display="https://www.diodes.com/datasheet/download/SD20C.pdf"/>
    <hyperlink ref="C545" r:id="rId_hyperlink_1088" tooltip="SD20C" display="SD20C"/>
    <hyperlink ref="B546" r:id="rId_hyperlink_1089" tooltip="https://www.diodes.com/datasheet/download/SD24.pdf" display="https://www.diodes.com/datasheet/download/SD24.pdf"/>
    <hyperlink ref="C546" r:id="rId_hyperlink_1090" tooltip="SD24" display="SD24"/>
    <hyperlink ref="B547" r:id="rId_hyperlink_1091" tooltip="https://www.diodes.com/datasheet/download/SD24C.pdf" display="https://www.diodes.com/datasheet/download/SD24C.pdf"/>
    <hyperlink ref="C547" r:id="rId_hyperlink_1092" tooltip="SD24C" display="SD24C"/>
    <hyperlink ref="B548" r:id="rId_hyperlink_1093" tooltip="https://www.diodes.com/datasheet/download/SD24CQ.pdf" display="https://www.diodes.com/datasheet/download/SD24CQ.pdf"/>
    <hyperlink ref="C548" r:id="rId_hyperlink_1094" tooltip="SD24CQ" display="SD24CQ"/>
    <hyperlink ref="B549" r:id="rId_hyperlink_1095" tooltip="https://www.diodes.com/datasheet/download/SD24Q.pdf" display="https://www.diodes.com/datasheet/download/SD24Q.pdf"/>
    <hyperlink ref="C549" r:id="rId_hyperlink_1096" tooltip="SD24Q" display="SD24Q"/>
    <hyperlink ref="B550" r:id="rId_hyperlink_1097" tooltip="https://www.diodes.com/datasheet/download/SD36.pdf" display="https://www.diodes.com/datasheet/download/SD36.pdf"/>
    <hyperlink ref="C550" r:id="rId_hyperlink_1098" tooltip="SD36" display="SD36"/>
    <hyperlink ref="B551" r:id="rId_hyperlink_1099" tooltip="https://www.diodes.com/datasheet/download/SD36CQ.pdf" display="https://www.diodes.com/datasheet/download/SD36CQ.pdf"/>
    <hyperlink ref="C551" r:id="rId_hyperlink_1100" tooltip="SD36CQ" display="SD36CQ"/>
    <hyperlink ref="B552" r:id="rId_hyperlink_1101" tooltip="https://www.diodes.com/datasheet/download/SDA004.pdf" display="https://www.diodes.com/datasheet/download/SDA004.pdf"/>
    <hyperlink ref="C552" r:id="rId_hyperlink_1102" tooltip="SDA004" display="SDA004"/>
    <hyperlink ref="B553" r:id="rId_hyperlink_1103" tooltip="https://www.diodes.com/datasheet/download/SDA006.pdf" display="https://www.diodes.com/datasheet/download/SDA006.pdf"/>
    <hyperlink ref="C553" r:id="rId_hyperlink_1104" tooltip="SDA006" display="SDA006"/>
    <hyperlink ref="B554" r:id="rId_hyperlink_1105" tooltip="https://www.diodes.com/datasheet/download/SM05.pdf" display="https://www.diodes.com/datasheet/download/SM05.pdf"/>
    <hyperlink ref="C554" r:id="rId_hyperlink_1106" tooltip="SM05" display="SM05"/>
    <hyperlink ref="B555" r:id="rId_hyperlink_1107" tooltip="https://www.diodes.com/datasheet/download/SM12.pdf" display="https://www.diodes.com/datasheet/download/SM12.pdf"/>
    <hyperlink ref="C555" r:id="rId_hyperlink_1108" tooltip="SM12" display="SM12"/>
    <hyperlink ref="B556" r:id="rId_hyperlink_1109" tooltip="https://www.diodes.com/datasheet/download/ds40740.pdf" display="https://www.diodes.com/datasheet/download/ds40740.pdf"/>
    <hyperlink ref="C556" r:id="rId_hyperlink_1110" tooltip="SMBJ43AQ" display="SMBJ43AQ"/>
    <hyperlink ref="B557" r:id="rId_hyperlink_1111" tooltip="https://www.diodes.com/datasheet/download/ds43393.pdf" display="https://www.diodes.com/datasheet/download/ds43393.pdf"/>
    <hyperlink ref="C557" r:id="rId_hyperlink_1112" tooltip="SMF4L3.3AQ" display="SMF4L3.3AQ"/>
    <hyperlink ref="B558" r:id="rId_hyperlink_1113" tooltip="https://www.diodes.com/datasheet/download/T3V3S5A_T5V0S5A_T6V0S5A_T12S5A.pdf" display="https://www.diodes.com/datasheet/download/T3V3S5A_T5V0S5A_T6V0S5A_T12S5A.pdf"/>
    <hyperlink ref="C558" r:id="rId_hyperlink_1114" tooltip="T12S5A" display="T12S5A"/>
    <hyperlink ref="B559" r:id="rId_hyperlink_1115" tooltip="https://www.diodes.com/datasheet/download/ds45280.pdf" display="https://www.diodes.com/datasheet/download/ds45280.pdf"/>
    <hyperlink ref="C559" r:id="rId_hyperlink_1116" tooltip="T12S5AQ" display="T12S5AQ"/>
    <hyperlink ref="B560" r:id="rId_hyperlink_1117" tooltip="https://www.diodes.com/datasheet/download/T3V3S5A_T5V0S5A_T6V0S5A_T12S5A.pdf" display="https://www.diodes.com/datasheet/download/T3V3S5A_T5V0S5A_T6V0S5A_T12S5A.pdf"/>
    <hyperlink ref="C560" r:id="rId_hyperlink_1118" tooltip="T3V3S5A" display="T3V3S5A"/>
    <hyperlink ref="B561" r:id="rId_hyperlink_1119" tooltip="https://www.diodes.com/datasheet/download/ds45280.pdf" display="https://www.diodes.com/datasheet/download/ds45280.pdf"/>
    <hyperlink ref="C561" r:id="rId_hyperlink_1120" tooltip="T3V3S5AQ" display="T3V3S5AQ"/>
    <hyperlink ref="B562" r:id="rId_hyperlink_1121" tooltip="https://www.diodes.com/datasheet/download/T5V0DLP.pdf" display="https://www.diodes.com/datasheet/download/T5V0DLP.pdf"/>
    <hyperlink ref="C562" r:id="rId_hyperlink_1122" tooltip="T5V0DLP" display="T5V0DLP"/>
    <hyperlink ref="B563" r:id="rId_hyperlink_1123" tooltip="https://www.diodes.com/datasheet/download/T3V3S5A_T5V0S5A_T6V0S5A_T12S5A.pdf" display="https://www.diodes.com/datasheet/download/T3V3S5A_T5V0S5A_T6V0S5A_T12S5A.pdf"/>
    <hyperlink ref="C563" r:id="rId_hyperlink_1124" tooltip="T5V0S5A" display="T5V0S5A"/>
    <hyperlink ref="B564" r:id="rId_hyperlink_1125" tooltip="https://www.diodes.com/datasheet/download/ds45280.pdf" display="https://www.diodes.com/datasheet/download/ds45280.pdf"/>
    <hyperlink ref="C564" r:id="rId_hyperlink_1126" tooltip="T5V0S5AQ" display="T5V0S5AQ"/>
    <hyperlink ref="B565" r:id="rId_hyperlink_1127" tooltip="https://www.diodes.com/datasheet/download/T3V3S5A_T5V0S5A_T6V0S5A_T12S5A.pdf" display="https://www.diodes.com/datasheet/download/T3V3S5A_T5V0S5A_T6V0S5A_T12S5A.pdf"/>
    <hyperlink ref="C565" r:id="rId_hyperlink_1128" tooltip="T6V0S5A" display="T6V0S5A"/>
    <hyperlink ref="B566" r:id="rId_hyperlink_1129" tooltip="https://www.diodes.com/datasheet/download/ds45280.pdf" display="https://www.diodes.com/datasheet/download/ds45280.pdf"/>
    <hyperlink ref="C566" r:id="rId_hyperlink_1130" tooltip="T6V0S5AQ" display="T6V0S5AQ"/>
    <hyperlink ref="B567" r:id="rId_hyperlink_1131" tooltip="https://www.diodes.com/datasheet/download/TPD6V8LPN.pdf" display="https://www.diodes.com/datasheet/download/TPD6V8LPN.pdf"/>
    <hyperlink ref="C567" r:id="rId_hyperlink_1132" tooltip="TPD6V8LPN" display="TPD6V8LPN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2026-08-11T08:41:01-05:00</dcterms:created>
  <dcterms:modified xsi:type="dcterms:W3CDTF">2026-08-11T08:41:01-05:00</dcterms:modified>
  <dc:title>Untitled Spreadsheet</dc:title>
  <dc:description/>
  <dc:subject/>
  <cp:keywords/>
  <cp:category/>
</cp:coreProperties>
</file>