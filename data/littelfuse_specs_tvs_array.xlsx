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Cross-Reference-Tool-main\Cross-Reference-Tool-main\"/>
    </mc:Choice>
  </mc:AlternateContent>
  <xr:revisionPtr revIDLastSave="0" documentId="13_ncr:1_{FC4F52F3-8D02-4309-838B-C5F32C4A6DE8}" xr6:coauthVersionLast="47" xr6:coauthVersionMax="47" xr10:uidLastSave="{00000000-0000-0000-0000-000000000000}"/>
  <bookViews>
    <workbookView xWindow="-110" yWindow="-110" windowWidth="24220" windowHeight="16220" xr2:uid="{65B7DCF1-DC5F-4654-A21B-587C3883F6E2}"/>
  </bookViews>
  <sheets>
    <sheet name="littelfuse_specs_tvs_arr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" l="1"/>
  <c r="F65" i="1"/>
  <c r="F144" i="1"/>
  <c r="F253" i="1"/>
  <c r="I253" i="1"/>
  <c r="F323" i="1"/>
  <c r="I323" i="1"/>
</calcChain>
</file>

<file path=xl/sharedStrings.xml><?xml version="1.0" encoding="utf-8"?>
<sst xmlns="http://schemas.openxmlformats.org/spreadsheetml/2006/main" count="1971" uniqueCount="560">
  <si>
    <t>Part Number</t>
  </si>
  <si>
    <t>Series</t>
  </si>
  <si>
    <t>Polarity</t>
  </si>
  <si>
    <t>CI/O TYP (pF)</t>
  </si>
  <si>
    <t>Package</t>
  </si>
  <si>
    <t>ESD Contact (kV)</t>
  </si>
  <si>
    <t>MIN VBR@IT  (V)</t>
  </si>
  <si>
    <t>AEC-Q101 Qualified</t>
  </si>
  <si>
    <t xml:space="preserve">ESD Air (kV) </t>
  </si>
  <si>
    <t>AQ0115-01ETG</t>
  </si>
  <si>
    <t>No</t>
  </si>
  <si>
    <t>1.0 pF</t>
  </si>
  <si>
    <t>SOD882</t>
  </si>
  <si>
    <t>± 30</t>
  </si>
  <si>
    <t>Yes</t>
  </si>
  <si>
    <t>AQ0502-02RTG</t>
  </si>
  <si>
    <t>SOT523-3L</t>
  </si>
  <si>
    <t>AQ0502-02STG</t>
  </si>
  <si>
    <t>SOT723-3L</t>
  </si>
  <si>
    <t>AQ1003-01ETG</t>
  </si>
  <si>
    <t>Unidirectional</t>
  </si>
  <si>
    <t>±30</t>
  </si>
  <si>
    <t>AQ1003-01LTG</t>
  </si>
  <si>
    <t>SOD523</t>
  </si>
  <si>
    <t>AQ1005-01ETG</t>
  </si>
  <si>
    <t>AQ1005</t>
  </si>
  <si>
    <t>Bidirectional</t>
  </si>
  <si>
    <t>30pF@0.0V/23pF@2.5V</t>
  </si>
  <si>
    <t>AQ1006-01UTG</t>
  </si>
  <si>
    <t>AQ1006</t>
  </si>
  <si>
    <t>25@0V/15@2.5V</t>
  </si>
  <si>
    <t>uDFN0603</t>
  </si>
  <si>
    <t>AQ1026-01UTG</t>
  </si>
  <si>
    <t>AQ1026</t>
  </si>
  <si>
    <t>15@0V/12@2.5V</t>
  </si>
  <si>
    <t>AQ1205-01ETG</t>
  </si>
  <si>
    <t>AQ1205-01FTG</t>
  </si>
  <si>
    <t>AQ1205-01LTG</t>
  </si>
  <si>
    <t>±30kV</t>
  </si>
  <si>
    <t>AQ1205-01UTG</t>
  </si>
  <si>
    <t>0201 DFN</t>
  </si>
  <si>
    <t>AQ1210-01ETG</t>
  </si>
  <si>
    <t>AQ1250-01ETG</t>
  </si>
  <si>
    <t>AQ12CANA-02HTG</t>
  </si>
  <si>
    <t>SOT23-3L</t>
  </si>
  <si>
    <t>AQ15CANA-02HTG</t>
  </si>
  <si>
    <t>AQ22-01FTG</t>
  </si>
  <si>
    <t>SOD323</t>
  </si>
  <si>
    <t>AQ24CANA-02HTG</t>
  </si>
  <si>
    <t>AQ24CANA</t>
  </si>
  <si>
    <t>±25</t>
  </si>
  <si>
    <t>AQ24CANFD-02HTG</t>
  </si>
  <si>
    <t>AQ24CANFD</t>
  </si>
  <si>
    <t>±21</t>
  </si>
  <si>
    <t>AQ24COM-01ETG</t>
  </si>
  <si>
    <t>AQ24COM-01</t>
  </si>
  <si>
    <t>AQ24COM-01FTG</t>
  </si>
  <si>
    <t>AQ24COM-01LTG</t>
  </si>
  <si>
    <t>AQ24COM-02HTG</t>
  </si>
  <si>
    <t>AQ24COM-02</t>
  </si>
  <si>
    <t>AQ24COM-02JTG</t>
  </si>
  <si>
    <t>AQ24COME-02HTG</t>
  </si>
  <si>
    <t>AQ24ETH-02HTG</t>
  </si>
  <si>
    <t>AQ2555NUTG</t>
  </si>
  <si>
    <t>uDFN3020-10L</t>
  </si>
  <si>
    <t>AQ27COM-01FTG</t>
  </si>
  <si>
    <t>AQ27COM-01</t>
  </si>
  <si>
    <t>AQ27COM-02HTG</t>
  </si>
  <si>
    <t>AQ27COM-02</t>
  </si>
  <si>
    <t>AQ27COM-02JTG</t>
  </si>
  <si>
    <t>SC70-3L</t>
  </si>
  <si>
    <t>AQ3041-01ETG</t>
  </si>
  <si>
    <t>AQ3041</t>
  </si>
  <si>
    <t>±20</t>
  </si>
  <si>
    <t>AQ3045-01ETG</t>
  </si>
  <si>
    <t>AQ3045</t>
  </si>
  <si>
    <t>AQ3052-02RTG</t>
  </si>
  <si>
    <t>AQ3102-02HTG</t>
  </si>
  <si>
    <t>AQ3102</t>
  </si>
  <si>
    <t>N/A</t>
  </si>
  <si>
    <t>AQ3102-02JTG</t>
  </si>
  <si>
    <t>AQ3118-01ETG</t>
  </si>
  <si>
    <t>AQ3118</t>
  </si>
  <si>
    <t>±10</t>
  </si>
  <si>
    <t>±15</t>
  </si>
  <si>
    <t>AQ3118-02JTG</t>
  </si>
  <si>
    <t>AQ3118E-01ETG</t>
  </si>
  <si>
    <t>+/-30</t>
  </si>
  <si>
    <t>AQ3130-01ETG</t>
  </si>
  <si>
    <t>AQ3130</t>
  </si>
  <si>
    <t>AQ3130E-01ETG</t>
  </si>
  <si>
    <t>AQ3400-02UTG</t>
  </si>
  <si>
    <t>AQ3400</t>
  </si>
  <si>
    <t>uDFN1610-6L</t>
  </si>
  <si>
    <t>AQ3522-01FTG</t>
  </si>
  <si>
    <t>AQ3522-01LTG</t>
  </si>
  <si>
    <t>±22</t>
  </si>
  <si>
    <t>AQ3530-01FTG</t>
  </si>
  <si>
    <t>AQ3530-01LTG</t>
  </si>
  <si>
    <t>AQ36CANA-02HTG</t>
  </si>
  <si>
    <t>AQ4020-01FTG</t>
  </si>
  <si>
    <t>AQ4020</t>
  </si>
  <si>
    <t>AQ4020-01FTG-C</t>
  </si>
  <si>
    <t>AQ4021-01FTG</t>
  </si>
  <si>
    <t>AQ4021</t>
  </si>
  <si>
    <t>AQ4021-01FTG-C</t>
  </si>
  <si>
    <t>AQ4022-01FTG</t>
  </si>
  <si>
    <t>AQ4022</t>
  </si>
  <si>
    <t>AQ4022-01FTG-C</t>
  </si>
  <si>
    <t>AQ4023-01FTG</t>
  </si>
  <si>
    <t>AQ4023</t>
  </si>
  <si>
    <t>AQ4023-01FTG-C</t>
  </si>
  <si>
    <t>AQ4024-01FTG</t>
  </si>
  <si>
    <t>AQ4024</t>
  </si>
  <si>
    <t>AQ4024-01FTG-C</t>
  </si>
  <si>
    <t>AQ4315-01ETG</t>
  </si>
  <si>
    <t>AQ4324-01ETG</t>
  </si>
  <si>
    <t>AQ4337-01ETG</t>
  </si>
  <si>
    <t>AQ4337L-01ETG</t>
  </si>
  <si>
    <t>AQ48ETH-02HTG</t>
  </si>
  <si>
    <t>AQ7520-08UTG</t>
  </si>
  <si>
    <t>uDFN3810-9L</t>
  </si>
  <si>
    <t>AQ7538-08UTG</t>
  </si>
  <si>
    <t>AQHV12-01ETG</t>
  </si>
  <si>
    <t>AQHVxx-01ETG</t>
  </si>
  <si>
    <t>AQHV15-01ETG</t>
  </si>
  <si>
    <t>AQHV24-01ETG</t>
  </si>
  <si>
    <t>±24</t>
  </si>
  <si>
    <t>AQHV36-01ETG</t>
  </si>
  <si>
    <t>AQHV12-01ETG-C</t>
  </si>
  <si>
    <t>AQHVxx-01ETG-C</t>
  </si>
  <si>
    <t>AQHV15-01ETG-C</t>
  </si>
  <si>
    <t>AQHV24-01ETG-C</t>
  </si>
  <si>
    <t>AQHV36-01ETG-C</t>
  </si>
  <si>
    <t>AQHV12-01LTG</t>
  </si>
  <si>
    <t>AQHVxx-01LTG</t>
  </si>
  <si>
    <t>AQHV15-01LTG</t>
  </si>
  <si>
    <t>AQHV24-01LTG</t>
  </si>
  <si>
    <t>AQHV36-01LTG</t>
  </si>
  <si>
    <t>AQHV12-01LTG-C</t>
  </si>
  <si>
    <t>AQHVxx-01LTG-C</t>
  </si>
  <si>
    <t>AQHV15-01LTG-C</t>
  </si>
  <si>
    <t>AQHV24-01LTG-C</t>
  </si>
  <si>
    <t>AQHV36-01LTG-C</t>
  </si>
  <si>
    <t>AQRV05-4HTG</t>
  </si>
  <si>
    <t>SOT23-6L</t>
  </si>
  <si>
    <t>AQW05-01FTG</t>
  </si>
  <si>
    <t>AQW05C-01FTG</t>
  </si>
  <si>
    <t>AQ05-01FLTG</t>
  </si>
  <si>
    <t>AQxx-01FLTG</t>
  </si>
  <si>
    <t>SOD323FL</t>
  </si>
  <si>
    <t>AQ06-01FLTG</t>
  </si>
  <si>
    <t>AQ12-01FLTG</t>
  </si>
  <si>
    <t>AQ15-01FLTG</t>
  </si>
  <si>
    <t>AQ22-01FLTG</t>
  </si>
  <si>
    <t>AQ24-01FLTG</t>
  </si>
  <si>
    <t>AQ28-01FLTG</t>
  </si>
  <si>
    <t>AQ30-01FLTG</t>
  </si>
  <si>
    <t>AQ33-01FLTG</t>
  </si>
  <si>
    <t>AQ45-01FLTG</t>
  </si>
  <si>
    <t>AQ60-01FLTG</t>
  </si>
  <si>
    <t>AQ05-01FTG</t>
  </si>
  <si>
    <t>AQxx-01FTG</t>
  </si>
  <si>
    <t>AQ12-01FTG</t>
  </si>
  <si>
    <t>AQ15-01FTG</t>
  </si>
  <si>
    <t>AQ24-01FTG</t>
  </si>
  <si>
    <t>AQ36-01FTG</t>
  </si>
  <si>
    <t>AQ05-02HTG</t>
  </si>
  <si>
    <t>AQxx-02HTG</t>
  </si>
  <si>
    <t>AQ12-02HTG</t>
  </si>
  <si>
    <t>AQ15-02HTG</t>
  </si>
  <si>
    <t>AQ24-02HTG</t>
  </si>
  <si>
    <t>AQ36-02HTG</t>
  </si>
  <si>
    <t>AQ05C-01FTG</t>
  </si>
  <si>
    <t>AQxxC-01FTG</t>
  </si>
  <si>
    <t>AQ12C-01FTG</t>
  </si>
  <si>
    <t>AQ15C-01FTG</t>
  </si>
  <si>
    <t>AQ24C-01FTG</t>
  </si>
  <si>
    <t>AQ36C-01FTG</t>
  </si>
  <si>
    <t>SP0402U-ELC-02ETG</t>
  </si>
  <si>
    <t>Enhanced ESD Diode Arrays</t>
  </si>
  <si>
    <t>SOD883</t>
  </si>
  <si>
    <t>SP0201B-ELC-01UTG</t>
  </si>
  <si>
    <t>Enhanced ESD Discrete TVS</t>
  </si>
  <si>
    <t>SP0201U-ELC-01UTG</t>
  </si>
  <si>
    <t>SP0402B-ELC-01ETG</t>
  </si>
  <si>
    <t>SP0402U-ELC-01ETG</t>
  </si>
  <si>
    <t>LC03-3.3BTG</t>
  </si>
  <si>
    <t>LC03-3.3</t>
  </si>
  <si>
    <t>SOIC-8L</t>
  </si>
  <si>
    <t>SC1003-01ETG</t>
  </si>
  <si>
    <t>SC1004U-ULC-04UTG</t>
  </si>
  <si>
    <t>uDFN2510-10L</t>
  </si>
  <si>
    <t>SC1006-01LTG</t>
  </si>
  <si>
    <t>SC1103C-01UTG</t>
  </si>
  <si>
    <t>uDFN1610</t>
  </si>
  <si>
    <t>SC1122-01ETG</t>
  </si>
  <si>
    <t>SC1105-01UTG</t>
  </si>
  <si>
    <t>SC11xx</t>
  </si>
  <si>
    <t>SC1115-01UTG</t>
  </si>
  <si>
    <t>SC1122-01UTG</t>
  </si>
  <si>
    <t>SC1205-01ETG</t>
  </si>
  <si>
    <t>SC1205-01UTG</t>
  </si>
  <si>
    <t>SC1210-01ETG</t>
  </si>
  <si>
    <t>SC1230-01UTG</t>
  </si>
  <si>
    <t>uDFN-6</t>
  </si>
  <si>
    <t>SC1236-01UTG</t>
  </si>
  <si>
    <t>SC1248-01UTG</t>
  </si>
  <si>
    <t>SC1333-01ETG</t>
  </si>
  <si>
    <t>SC1533-01FTG</t>
  </si>
  <si>
    <t>SC1533-01LTG</t>
  </si>
  <si>
    <t>SC2200-01UTG</t>
  </si>
  <si>
    <t>DFN2020-6L</t>
  </si>
  <si>
    <t>SC3000-01UTG</t>
  </si>
  <si>
    <t>SC3051-04HTG</t>
  </si>
  <si>
    <t>SC3402-02ETG</t>
  </si>
  <si>
    <t>SC3530-01LTG</t>
  </si>
  <si>
    <t>SC3V3-04UTG</t>
  </si>
  <si>
    <t>SC4340L-01ETG</t>
  </si>
  <si>
    <t>SC5V0-04UTG</t>
  </si>
  <si>
    <t>SC712-02HTG</t>
  </si>
  <si>
    <t>SC7520-08UTG</t>
  </si>
  <si>
    <t>SC7538-08UTG</t>
  </si>
  <si>
    <t>SCHV12-01ETG</t>
  </si>
  <si>
    <t>SCHVxx-01ETG</t>
  </si>
  <si>
    <t>SCHV15-01ETG</t>
  </si>
  <si>
    <t>SCHV24-01ETG</t>
  </si>
  <si>
    <t>SCHV36-01ETG</t>
  </si>
  <si>
    <t>SCHV12-01ETG-C</t>
  </si>
  <si>
    <t>SCHVxx-01ETG-C</t>
  </si>
  <si>
    <t>SCHV15-01ETG-C</t>
  </si>
  <si>
    <t>SCHV24-01ETG-C</t>
  </si>
  <si>
    <t>SCHV36-01ETG-C</t>
  </si>
  <si>
    <t>SD05-01FTG</t>
  </si>
  <si>
    <t>SD</t>
  </si>
  <si>
    <t>SD12-01FTG</t>
  </si>
  <si>
    <t>SD15-01FTG</t>
  </si>
  <si>
    <t>SD24-01FTG</t>
  </si>
  <si>
    <t>SD36-01FTG</t>
  </si>
  <si>
    <t>SD22-01FTG</t>
  </si>
  <si>
    <t>SD22</t>
  </si>
  <si>
    <t>SD05C-01FTG</t>
  </si>
  <si>
    <t>SDC</t>
  </si>
  <si>
    <t>SD12C-01FTG</t>
  </si>
  <si>
    <t>SD15C-01FTG</t>
  </si>
  <si>
    <t>SD24C-01FTG</t>
  </si>
  <si>
    <t>SD36C-01FTG</t>
  </si>
  <si>
    <t>SDW05-01FTG</t>
  </si>
  <si>
    <t>SDW05C-01FTG</t>
  </si>
  <si>
    <t>SESD0402Q2UG-0030-088</t>
  </si>
  <si>
    <t>SESD Series Enhanced ESD Diode Arrays</t>
  </si>
  <si>
    <t>SESD0402X1BN-0015-096</t>
  </si>
  <si>
    <t>SESD Series Enhanced ESD Discrete TVS</t>
  </si>
  <si>
    <t>SESD0402X1UN-0030-088</t>
  </si>
  <si>
    <t>SESD0402Q2UG-0020-090</t>
  </si>
  <si>
    <t>SESD Series Ultra Low Capacitance Diode Arrays</t>
  </si>
  <si>
    <t>SESD1004Q4UG-0020-090</t>
  </si>
  <si>
    <t>SESD0201X1BN-0010-098</t>
  </si>
  <si>
    <t>SESD Series Ultra Low Capacitance Discrete TVS</t>
  </si>
  <si>
    <t>SESD0201X1UN-0020-090</t>
  </si>
  <si>
    <t>SESD0402X1BN-0010-098</t>
  </si>
  <si>
    <t>SESD0402X1UN-0020-090</t>
  </si>
  <si>
    <t>SLVU2.8HTG</t>
  </si>
  <si>
    <t>SLVU2.8</t>
  </si>
  <si>
    <t>SLVU2.8-4BTG</t>
  </si>
  <si>
    <t>SLVU2.8-4</t>
  </si>
  <si>
    <t>SLVU2.8-4BTG-S</t>
  </si>
  <si>
    <t>SLVU2.8-8BTG</t>
  </si>
  <si>
    <t>SLVU2.8-8</t>
  </si>
  <si>
    <t>SM05-02HTG</t>
  </si>
  <si>
    <t>SM</t>
  </si>
  <si>
    <t>SM12-02HTG</t>
  </si>
  <si>
    <t>SM15-02HTG</t>
  </si>
  <si>
    <t>SM24-02HTG</t>
  </si>
  <si>
    <t>SM36-02HTG</t>
  </si>
  <si>
    <t>SM24CANA-02HTG</t>
  </si>
  <si>
    <t>SM24CANA</t>
  </si>
  <si>
    <t>SM24CANB-02HTG</t>
  </si>
  <si>
    <t>SM24CANB</t>
  </si>
  <si>
    <t>SM712-02HTG</t>
  </si>
  <si>
    <t>SM712</t>
  </si>
  <si>
    <t>SP00R6-01WTG</t>
  </si>
  <si>
    <t>SP00R6</t>
  </si>
  <si>
    <t>0603 WLCSP</t>
  </si>
  <si>
    <t>SP0115-01ETG</t>
  </si>
  <si>
    <t>0,85</t>
  </si>
  <si>
    <t>SP0115-01UTG</t>
  </si>
  <si>
    <t>1.6x1.0mm DFN</t>
  </si>
  <si>
    <t>SP03-3.3BTG</t>
  </si>
  <si>
    <t>SP03-3.3</t>
  </si>
  <si>
    <t>SP03-6BTG</t>
  </si>
  <si>
    <t>SP03-6</t>
  </si>
  <si>
    <t>SP0504SHTG</t>
  </si>
  <si>
    <t>SP0504S</t>
  </si>
  <si>
    <t>SP0502BAHTG</t>
  </si>
  <si>
    <t>SP050xBA Lead-Free/Green</t>
  </si>
  <si>
    <t>SP0502BAJTG</t>
  </si>
  <si>
    <t>SP0503BAHTG</t>
  </si>
  <si>
    <t>SOT143</t>
  </si>
  <si>
    <t>SP0504BAHTG</t>
  </si>
  <si>
    <t>SOT23-5L</t>
  </si>
  <si>
    <t>SP0504BAJTG</t>
  </si>
  <si>
    <t>SC70-5L</t>
  </si>
  <si>
    <t>SP0505BAHTG</t>
  </si>
  <si>
    <t>SP0505BAJTG</t>
  </si>
  <si>
    <t>SC70-6L</t>
  </si>
  <si>
    <t>SP0506BAATG</t>
  </si>
  <si>
    <t>MSOP-8L</t>
  </si>
  <si>
    <t>SP1001-02JTG</t>
  </si>
  <si>
    <t>SP1001</t>
  </si>
  <si>
    <t>SP1001-02XTG</t>
  </si>
  <si>
    <t>SOT553</t>
  </si>
  <si>
    <t>SP1001-04JTG</t>
  </si>
  <si>
    <t>SP1001-04XTG</t>
  </si>
  <si>
    <t>SP1001-05JTG</t>
  </si>
  <si>
    <t>SP1001-05VTG</t>
  </si>
  <si>
    <t>SOT963</t>
  </si>
  <si>
    <t>SP1001-05XTG</t>
  </si>
  <si>
    <t>SOT563</t>
  </si>
  <si>
    <t>SP1002-01JTG</t>
  </si>
  <si>
    <t>SP1002</t>
  </si>
  <si>
    <t>SP1002-02JTG</t>
  </si>
  <si>
    <t>SP1003-01DTG</t>
  </si>
  <si>
    <t>SP1003</t>
  </si>
  <si>
    <t>SOD723</t>
  </si>
  <si>
    <t>SP1003-01ETG</t>
  </si>
  <si>
    <t>SP1005-01ETG</t>
  </si>
  <si>
    <t>SP1005</t>
  </si>
  <si>
    <t>SP1005-01WTG</t>
  </si>
  <si>
    <t>SP1006-01UTG</t>
  </si>
  <si>
    <t>SP1006</t>
  </si>
  <si>
    <t>SP1007-01ETG</t>
  </si>
  <si>
    <t>SP1007</t>
  </si>
  <si>
    <t>SP1008-01WTG</t>
  </si>
  <si>
    <t>SP1008</t>
  </si>
  <si>
    <t>SP1012-05WTG</t>
  </si>
  <si>
    <t>SP1012</t>
  </si>
  <si>
    <t>1006 WLCSP</t>
  </si>
  <si>
    <t>SP1015-04WTG</t>
  </si>
  <si>
    <t>SP1015</t>
  </si>
  <si>
    <t>SP1020-01WTG</t>
  </si>
  <si>
    <t>SP1020</t>
  </si>
  <si>
    <t>01005 WLCSP</t>
  </si>
  <si>
    <t>SP1026-01UTG</t>
  </si>
  <si>
    <t>SP1026</t>
  </si>
  <si>
    <t>SP1064-04UTG</t>
  </si>
  <si>
    <t>SP1064</t>
  </si>
  <si>
    <t>SP1064E-04UTG</t>
  </si>
  <si>
    <t>SP1064E</t>
  </si>
  <si>
    <t>SP1103C-01UTG</t>
  </si>
  <si>
    <t>SP1103C</t>
  </si>
  <si>
    <t>SP1120-01WTG</t>
  </si>
  <si>
    <t>Flipchip</t>
  </si>
  <si>
    <t>SP1105S-01UTG</t>
  </si>
  <si>
    <t>SP11xx</t>
  </si>
  <si>
    <t>SP1112-01UTG</t>
  </si>
  <si>
    <t>SP1115-01UTG</t>
  </si>
  <si>
    <t>SP1124-01UTG</t>
  </si>
  <si>
    <t>SP1224-01UTG</t>
  </si>
  <si>
    <t>SP1224</t>
  </si>
  <si>
    <t>uDFN2018-6L</t>
  </si>
  <si>
    <t>SP1233-01ETG</t>
  </si>
  <si>
    <t>SP1233</t>
  </si>
  <si>
    <t>SP1250-01ETG</t>
  </si>
  <si>
    <t>SP1250</t>
  </si>
  <si>
    <t>SP1305-02HTG</t>
  </si>
  <si>
    <t>SP1305</t>
  </si>
  <si>
    <t>SP1312-01WTG</t>
  </si>
  <si>
    <t>SP1312</t>
  </si>
  <si>
    <t>SP1326-01LTG</t>
  </si>
  <si>
    <t>SP1326</t>
  </si>
  <si>
    <t>SP1333-01UTG</t>
  </si>
  <si>
    <t>SP1333</t>
  </si>
  <si>
    <t>SP2502LBTG</t>
  </si>
  <si>
    <t>SP2502L</t>
  </si>
  <si>
    <t>SP2504NUTG</t>
  </si>
  <si>
    <t>SP2504N</t>
  </si>
  <si>
    <t>SP2525NUTG</t>
  </si>
  <si>
    <t>SP2555NUTG</t>
  </si>
  <si>
    <t>SP3001-04JTG</t>
  </si>
  <si>
    <t>SP3001</t>
  </si>
  <si>
    <t>SP3002-04JTG</t>
  </si>
  <si>
    <t>SP3002</t>
  </si>
  <si>
    <t>SP3003-02JTG</t>
  </si>
  <si>
    <t>SP3003</t>
  </si>
  <si>
    <t>SP3003-02UTG</t>
  </si>
  <si>
    <t>SP3003-02XTG</t>
  </si>
  <si>
    <t>SP3003-04ATG</t>
  </si>
  <si>
    <t>MSOP-10L</t>
  </si>
  <si>
    <t>SP3003-04JTG</t>
  </si>
  <si>
    <t>SP3003-04XTG</t>
  </si>
  <si>
    <t>SP3003-08ATG</t>
  </si>
  <si>
    <t>SP3004-04XTG</t>
  </si>
  <si>
    <t>SP3004</t>
  </si>
  <si>
    <t>SP3006-02XTG</t>
  </si>
  <si>
    <t>SP3006</t>
  </si>
  <si>
    <t>SP3010-04UTG</t>
  </si>
  <si>
    <t>SP3010</t>
  </si>
  <si>
    <t>SP3011-06UTG</t>
  </si>
  <si>
    <t>SP3011</t>
  </si>
  <si>
    <t>uDFN3513-14L</t>
  </si>
  <si>
    <t>SP3019-04HTG</t>
  </si>
  <si>
    <t>SP3019</t>
  </si>
  <si>
    <t>SP3021-01ETG</t>
  </si>
  <si>
    <t>SP3021</t>
  </si>
  <si>
    <t>SP3022-01ETG</t>
  </si>
  <si>
    <t>SP3022</t>
  </si>
  <si>
    <t>SP3022-01ETG-NM</t>
  </si>
  <si>
    <t>0,35</t>
  </si>
  <si>
    <t>SP3025-04HTG</t>
  </si>
  <si>
    <t>SP3025</t>
  </si>
  <si>
    <t>SP3030-01ETG</t>
  </si>
  <si>
    <t>SP3030</t>
  </si>
  <si>
    <t>SP3031-01ETG</t>
  </si>
  <si>
    <t>SP3031</t>
  </si>
  <si>
    <t>SP3118-01ETG</t>
  </si>
  <si>
    <t>SP3118</t>
  </si>
  <si>
    <t>SP3118-01WTG</t>
  </si>
  <si>
    <t>SP3118E-01WTG</t>
  </si>
  <si>
    <t>SP3130-01ETG</t>
  </si>
  <si>
    <t>SP3130</t>
  </si>
  <si>
    <t>SP3130-01WTG</t>
  </si>
  <si>
    <t>SP3130E-01WTG</t>
  </si>
  <si>
    <t>SP3205-01ETG</t>
  </si>
  <si>
    <t>SP3205</t>
  </si>
  <si>
    <t>SP3213-01UTG</t>
  </si>
  <si>
    <t>SP3213</t>
  </si>
  <si>
    <t>SP3222-02ETG</t>
  </si>
  <si>
    <t>SP3222</t>
  </si>
  <si>
    <t>SP3304NUTG</t>
  </si>
  <si>
    <t>SP3304N</t>
  </si>
  <si>
    <t>SP3312TUTG</t>
  </si>
  <si>
    <t>SP3312T</t>
  </si>
  <si>
    <t>uDFN2010-8L</t>
  </si>
  <si>
    <t>SP3374NUTG</t>
  </si>
  <si>
    <t>SP3384NUTG</t>
  </si>
  <si>
    <t>SP33R6-04UTG</t>
  </si>
  <si>
    <t>SP33R6</t>
  </si>
  <si>
    <t>SP3400-02UTG</t>
  </si>
  <si>
    <t>SP3400</t>
  </si>
  <si>
    <t>SP3401-02UTG</t>
  </si>
  <si>
    <t>SP3401</t>
  </si>
  <si>
    <t>±28</t>
  </si>
  <si>
    <t>SP3420-04UTG</t>
  </si>
  <si>
    <t>SP3420</t>
  </si>
  <si>
    <t>SP3422-04UTG</t>
  </si>
  <si>
    <t>SP3422</t>
  </si>
  <si>
    <t>SP3423-02UTG</t>
  </si>
  <si>
    <t>SP3423</t>
  </si>
  <si>
    <t>SP3522-01ETG</t>
  </si>
  <si>
    <t>SP3522</t>
  </si>
  <si>
    <t>SP3522-01UTG</t>
  </si>
  <si>
    <t>SP3530-01ETG</t>
  </si>
  <si>
    <t>SP3530</t>
  </si>
  <si>
    <t>SP3530-01UTG</t>
  </si>
  <si>
    <t>SP4020-01FTG</t>
  </si>
  <si>
    <t>SP4020</t>
  </si>
  <si>
    <t>SP4020-01FTG-C</t>
  </si>
  <si>
    <t>SP4021-01FTG</t>
  </si>
  <si>
    <t>SP4021</t>
  </si>
  <si>
    <t>SP4021-01FTG-C</t>
  </si>
  <si>
    <t>SP4022-01FTG</t>
  </si>
  <si>
    <t>SP4022</t>
  </si>
  <si>
    <t>SP4022-01FTG-C</t>
  </si>
  <si>
    <t>SP4023-01FTG</t>
  </si>
  <si>
    <t>SP4023</t>
  </si>
  <si>
    <t>SP4023-01FTG-C</t>
  </si>
  <si>
    <t>SP4024-01FTG</t>
  </si>
  <si>
    <t>SP4024</t>
  </si>
  <si>
    <t>SP4024-01FTG-C</t>
  </si>
  <si>
    <t>SP4042-02UTG</t>
  </si>
  <si>
    <t>SP4042</t>
  </si>
  <si>
    <t>uDFN2626-10L</t>
  </si>
  <si>
    <t>SP4044-04ATG</t>
  </si>
  <si>
    <t>SP4044</t>
  </si>
  <si>
    <t>SP4045-04ATG</t>
  </si>
  <si>
    <t>SP4045</t>
  </si>
  <si>
    <t>SP4060-08ATG</t>
  </si>
  <si>
    <t>SP4060</t>
  </si>
  <si>
    <t>SP4065-08ATG</t>
  </si>
  <si>
    <t>SP4065</t>
  </si>
  <si>
    <t>SP4203-01FTG-C</t>
  </si>
  <si>
    <t>SP4203</t>
  </si>
  <si>
    <t>SP4208-01FTG</t>
  </si>
  <si>
    <t>SP4208</t>
  </si>
  <si>
    <t>SP4208-01FTG-C</t>
  </si>
  <si>
    <t>SP4315-01WTG</t>
  </si>
  <si>
    <t>WLCSP0201</t>
  </si>
  <si>
    <t>SP4320-01WTG</t>
  </si>
  <si>
    <t>SP4322-01ETG</t>
  </si>
  <si>
    <t>SP4322</t>
  </si>
  <si>
    <t>±18</t>
  </si>
  <si>
    <t>SP4324-01WTG</t>
  </si>
  <si>
    <t>SP4337-01WTG</t>
  </si>
  <si>
    <t>SP4337</t>
  </si>
  <si>
    <t>SP4338-02WTG</t>
  </si>
  <si>
    <t>0,18</t>
  </si>
  <si>
    <t>SP4339-02WTG</t>
  </si>
  <si>
    <t>SP4340L-01WTG</t>
  </si>
  <si>
    <t>SP712-02HTG</t>
  </si>
  <si>
    <t>SP712</t>
  </si>
  <si>
    <t>SP720ABG</t>
  </si>
  <si>
    <t>SP720 Lead-Free/Green</t>
  </si>
  <si>
    <t>SOIC-16L</t>
  </si>
  <si>
    <t>SP720ABTG</t>
  </si>
  <si>
    <t>SP720APP</t>
  </si>
  <si>
    <t>PDIP-16L</t>
  </si>
  <si>
    <t>SP721ABG</t>
  </si>
  <si>
    <t>SP721 Lead-Free/Green</t>
  </si>
  <si>
    <t>SP721ABTG</t>
  </si>
  <si>
    <t>SP721APP</t>
  </si>
  <si>
    <t>PDIP-8L</t>
  </si>
  <si>
    <t>SP723ABG</t>
  </si>
  <si>
    <t>SP723 Lead-Free/Green</t>
  </si>
  <si>
    <t>SP723ABTG</t>
  </si>
  <si>
    <t>SP723APP</t>
  </si>
  <si>
    <t>SP724AHTG</t>
  </si>
  <si>
    <t>SP724 Lead-Free/Green</t>
  </si>
  <si>
    <t>SP725ABG</t>
  </si>
  <si>
    <t>SP725</t>
  </si>
  <si>
    <t>SP725ABTG</t>
  </si>
  <si>
    <t>SP7538PUTG</t>
  </si>
  <si>
    <t>SP7538P</t>
  </si>
  <si>
    <t>±12</t>
  </si>
  <si>
    <t>SP8008-08UTG</t>
  </si>
  <si>
    <t>SP8008</t>
  </si>
  <si>
    <t>uDFN5515-14L</t>
  </si>
  <si>
    <t>SPHV12-01ETG</t>
  </si>
  <si>
    <t>SPHV</t>
  </si>
  <si>
    <t>SPHV15-01ETG</t>
  </si>
  <si>
    <t>SPHV24-01ETG</t>
  </si>
  <si>
    <t>SPHV36-01ETG</t>
  </si>
  <si>
    <t>SPHV12-01ETG-C</t>
  </si>
  <si>
    <t>SPHV C</t>
  </si>
  <si>
    <t>SPHV15-01ETG-C</t>
  </si>
  <si>
    <t>SPHV24-01ETG-C</t>
  </si>
  <si>
    <t>SPHV36-01ETG-C</t>
  </si>
  <si>
    <t>SP12-01WTG-C-HV</t>
  </si>
  <si>
    <t>SPxx</t>
  </si>
  <si>
    <t>SP15-01WTG-C-HV</t>
  </si>
  <si>
    <t>SP24-01WTG-C-HV</t>
  </si>
  <si>
    <t>SP36-01WTG-C-HV</t>
  </si>
  <si>
    <t>SR70-02CTG</t>
  </si>
  <si>
    <t>SR70</t>
  </si>
  <si>
    <t>SRDA05-4BTG</t>
  </si>
  <si>
    <t>SRDA05</t>
  </si>
  <si>
    <t>SRDA3.3-4BTG</t>
  </si>
  <si>
    <t>SRDA3.3</t>
  </si>
  <si>
    <t>SRV05-4HTG-D</t>
  </si>
  <si>
    <t>TPSMF70CA</t>
  </si>
  <si>
    <t>TPSMF</t>
  </si>
  <si>
    <t>SOD-123FL</t>
  </si>
  <si>
    <t>SP0402U-ULC-02ETG</t>
  </si>
  <si>
    <t>Ultra Low Capacitance Diode Arrays</t>
  </si>
  <si>
    <t>SP1004U-ULC-04UTG</t>
  </si>
  <si>
    <t>SP0201B-ULC-01UTG</t>
  </si>
  <si>
    <t>Ultra Low Capacitance Discrete TVS</t>
  </si>
  <si>
    <t>SP0201U-ULC-01UTG</t>
  </si>
  <si>
    <t>SP0402B-ULC-01ETG</t>
  </si>
  <si>
    <t>SP0402U-ULC-01ETG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</si>
</sst>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DB60-3CEE-420E-8845-8FD3AAB3235C}">
  <dimension ref="A1:I346"/>
  <sheetViews>
    <sheetView tabSelected="1" topLeftCell="A262" workbookViewId="0">
      <selection activeCell="C111" sqref="C1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9</v>
      </c>
      <c r="C2" t="s">
        <v>26</v>
      </c>
      <c r="D2" t="s">
        <v>11</v>
      </c>
      <c r="E2" t="s">
        <v>12</v>
      </c>
      <c r="F2" t="s">
        <v>13</v>
      </c>
      <c r="G2">
        <v>1.4</v>
      </c>
      <c r="H2" t="s">
        <v>14</v>
      </c>
      <c r="I2" t="s">
        <v>13</v>
      </c>
    </row>
    <row r="3" spans="1:9" x14ac:dyDescent="0.35">
      <c r="A3" t="s">
        <v>15</v>
      </c>
      <c r="B3" t="s">
        <v>15</v>
      </c>
      <c r="C3" t="s">
        <v>20</v>
      </c>
      <c r="D3">
        <v>1</v>
      </c>
      <c r="E3" t="s">
        <v>16</v>
      </c>
      <c r="F3">
        <v>22</v>
      </c>
      <c r="H3" t="s">
        <v>14</v>
      </c>
      <c r="I3">
        <v>20</v>
      </c>
    </row>
    <row r="4" spans="1:9" x14ac:dyDescent="0.35">
      <c r="A4" t="s">
        <v>17</v>
      </c>
      <c r="B4" t="s">
        <v>17</v>
      </c>
      <c r="C4" t="s">
        <v>20</v>
      </c>
      <c r="D4">
        <v>1</v>
      </c>
      <c r="E4" t="s">
        <v>18</v>
      </c>
      <c r="F4">
        <v>22</v>
      </c>
      <c r="H4" t="s">
        <v>14</v>
      </c>
      <c r="I4">
        <v>20</v>
      </c>
    </row>
    <row r="5" spans="1:9" x14ac:dyDescent="0.35">
      <c r="A5" t="s">
        <v>19</v>
      </c>
      <c r="B5" t="s">
        <v>19</v>
      </c>
      <c r="C5" t="s">
        <v>20</v>
      </c>
      <c r="D5">
        <v>30</v>
      </c>
      <c r="E5" t="s">
        <v>12</v>
      </c>
      <c r="F5" t="s">
        <v>21</v>
      </c>
      <c r="G5">
        <v>6</v>
      </c>
      <c r="H5" t="s">
        <v>14</v>
      </c>
      <c r="I5" t="s">
        <v>21</v>
      </c>
    </row>
    <row r="6" spans="1:9" x14ac:dyDescent="0.35">
      <c r="A6" t="s">
        <v>22</v>
      </c>
      <c r="B6" t="s">
        <v>22</v>
      </c>
      <c r="C6" t="s">
        <v>20</v>
      </c>
      <c r="D6">
        <v>30</v>
      </c>
      <c r="E6" t="s">
        <v>23</v>
      </c>
      <c r="F6" t="s">
        <v>21</v>
      </c>
      <c r="H6" t="s">
        <v>14</v>
      </c>
      <c r="I6" t="s">
        <v>21</v>
      </c>
    </row>
    <row r="7" spans="1:9" x14ac:dyDescent="0.35">
      <c r="A7" t="s">
        <v>24</v>
      </c>
      <c r="B7" t="s">
        <v>25</v>
      </c>
      <c r="C7" t="s">
        <v>26</v>
      </c>
      <c r="D7" t="s">
        <v>27</v>
      </c>
      <c r="E7" t="s">
        <v>12</v>
      </c>
      <c r="F7" t="s">
        <v>21</v>
      </c>
      <c r="H7" t="s">
        <v>14</v>
      </c>
      <c r="I7" t="s">
        <v>21</v>
      </c>
    </row>
    <row r="8" spans="1:9" x14ac:dyDescent="0.35">
      <c r="A8" t="s">
        <v>28</v>
      </c>
      <c r="B8" t="s">
        <v>29</v>
      </c>
      <c r="C8" t="s">
        <v>20</v>
      </c>
      <c r="D8" t="s">
        <v>30</v>
      </c>
      <c r="E8" t="s">
        <v>31</v>
      </c>
      <c r="F8" t="s">
        <v>21</v>
      </c>
      <c r="H8" t="s">
        <v>14</v>
      </c>
      <c r="I8" t="s">
        <v>21</v>
      </c>
    </row>
    <row r="9" spans="1:9" x14ac:dyDescent="0.35">
      <c r="A9" t="s">
        <v>32</v>
      </c>
      <c r="B9" t="s">
        <v>33</v>
      </c>
      <c r="C9" t="s">
        <v>26</v>
      </c>
      <c r="D9" t="s">
        <v>34</v>
      </c>
      <c r="E9" t="s">
        <v>31</v>
      </c>
      <c r="F9" t="s">
        <v>21</v>
      </c>
      <c r="H9" t="s">
        <v>14</v>
      </c>
      <c r="I9" t="s">
        <v>21</v>
      </c>
    </row>
    <row r="10" spans="1:9" x14ac:dyDescent="0.35">
      <c r="A10" t="s">
        <v>35</v>
      </c>
      <c r="B10" t="s">
        <v>35</v>
      </c>
      <c r="C10" t="s">
        <v>26</v>
      </c>
      <c r="D10">
        <v>7</v>
      </c>
      <c r="E10" t="s">
        <v>12</v>
      </c>
      <c r="F10">
        <v>30</v>
      </c>
      <c r="G10">
        <v>5.2</v>
      </c>
      <c r="H10" t="s">
        <v>14</v>
      </c>
      <c r="I10">
        <v>30</v>
      </c>
    </row>
    <row r="11" spans="1:9" x14ac:dyDescent="0.35">
      <c r="A11" t="s">
        <v>36</v>
      </c>
      <c r="B11" t="s">
        <v>36</v>
      </c>
      <c r="C11" t="s">
        <v>26</v>
      </c>
      <c r="D11">
        <v>7</v>
      </c>
      <c r="F11" t="s">
        <v>21</v>
      </c>
      <c r="G11">
        <v>5.0999999999999996</v>
      </c>
      <c r="H11" t="s">
        <v>14</v>
      </c>
      <c r="I11" t="s">
        <v>21</v>
      </c>
    </row>
    <row r="12" spans="1:9" x14ac:dyDescent="0.35">
      <c r="A12" t="s">
        <v>37</v>
      </c>
      <c r="B12" t="s">
        <v>37</v>
      </c>
      <c r="C12" t="s">
        <v>26</v>
      </c>
      <c r="D12">
        <v>7</v>
      </c>
      <c r="E12" t="s">
        <v>23</v>
      </c>
      <c r="F12" t="s">
        <v>38</v>
      </c>
      <c r="G12">
        <v>5.0999999999999996</v>
      </c>
      <c r="H12" t="s">
        <v>14</v>
      </c>
      <c r="I12" t="s">
        <v>38</v>
      </c>
    </row>
    <row r="13" spans="1:9" x14ac:dyDescent="0.35">
      <c r="A13" t="s">
        <v>37</v>
      </c>
      <c r="B13" t="s">
        <v>37</v>
      </c>
      <c r="C13" t="s">
        <v>26</v>
      </c>
      <c r="D13">
        <v>7</v>
      </c>
      <c r="E13" t="s">
        <v>23</v>
      </c>
      <c r="F13" t="s">
        <v>38</v>
      </c>
      <c r="G13">
        <v>5.0999999999999996</v>
      </c>
      <c r="H13" t="s">
        <v>14</v>
      </c>
      <c r="I13" t="s">
        <v>38</v>
      </c>
    </row>
    <row r="14" spans="1:9" x14ac:dyDescent="0.35">
      <c r="A14" t="s">
        <v>39</v>
      </c>
      <c r="B14" t="s">
        <v>39</v>
      </c>
      <c r="C14" t="s">
        <v>26</v>
      </c>
      <c r="E14" t="s">
        <v>40</v>
      </c>
      <c r="F14">
        <v>30</v>
      </c>
      <c r="G14">
        <v>28</v>
      </c>
      <c r="H14" t="s">
        <v>14</v>
      </c>
      <c r="I14">
        <v>30</v>
      </c>
    </row>
    <row r="15" spans="1:9" x14ac:dyDescent="0.35">
      <c r="A15" t="s">
        <v>41</v>
      </c>
      <c r="B15" t="s">
        <v>41</v>
      </c>
      <c r="C15" t="s">
        <v>26</v>
      </c>
      <c r="D15">
        <v>25</v>
      </c>
      <c r="E15" t="s">
        <v>12</v>
      </c>
      <c r="F15" t="s">
        <v>21</v>
      </c>
      <c r="G15">
        <v>5.2</v>
      </c>
      <c r="H15" t="s">
        <v>14</v>
      </c>
      <c r="I15" t="s">
        <v>21</v>
      </c>
    </row>
    <row r="16" spans="1:9" x14ac:dyDescent="0.35">
      <c r="A16" t="s">
        <v>42</v>
      </c>
      <c r="B16" t="s">
        <v>42</v>
      </c>
      <c r="C16" t="s">
        <v>20</v>
      </c>
      <c r="D16">
        <v>118</v>
      </c>
      <c r="E16" t="s">
        <v>12</v>
      </c>
      <c r="F16" t="s">
        <v>21</v>
      </c>
      <c r="G16">
        <v>5.2</v>
      </c>
      <c r="H16" t="s">
        <v>14</v>
      </c>
      <c r="I16" t="s">
        <v>21</v>
      </c>
    </row>
    <row r="17" spans="1:9" x14ac:dyDescent="0.35">
      <c r="A17" t="s">
        <v>43</v>
      </c>
      <c r="B17" t="s">
        <v>43</v>
      </c>
      <c r="C17" t="s">
        <v>26</v>
      </c>
      <c r="D17">
        <v>28</v>
      </c>
      <c r="E17" t="s">
        <v>44</v>
      </c>
      <c r="F17" t="s">
        <v>38</v>
      </c>
      <c r="G17">
        <v>13</v>
      </c>
      <c r="H17" t="s">
        <v>14</v>
      </c>
      <c r="I17" t="s">
        <v>38</v>
      </c>
    </row>
    <row r="18" spans="1:9" x14ac:dyDescent="0.35">
      <c r="A18" t="s">
        <v>45</v>
      </c>
      <c r="B18" t="s">
        <v>45</v>
      </c>
      <c r="C18" t="s">
        <v>26</v>
      </c>
      <c r="D18">
        <v>21</v>
      </c>
      <c r="E18" t="s">
        <v>44</v>
      </c>
      <c r="F18" t="s">
        <v>38</v>
      </c>
      <c r="G18">
        <v>16.7</v>
      </c>
      <c r="H18" t="s">
        <v>14</v>
      </c>
      <c r="I18" t="s">
        <v>38</v>
      </c>
    </row>
    <row r="19" spans="1:9" x14ac:dyDescent="0.35">
      <c r="A19" t="s">
        <v>46</v>
      </c>
      <c r="B19" t="s">
        <v>46</v>
      </c>
      <c r="C19" t="s">
        <v>20</v>
      </c>
      <c r="D19">
        <v>160</v>
      </c>
      <c r="E19" t="s">
        <v>47</v>
      </c>
      <c r="F19" t="s">
        <v>21</v>
      </c>
      <c r="G19">
        <v>23</v>
      </c>
      <c r="H19" t="s">
        <v>14</v>
      </c>
      <c r="I19" t="s">
        <v>21</v>
      </c>
    </row>
    <row r="20" spans="1:9" x14ac:dyDescent="0.35">
      <c r="A20" t="s">
        <v>48</v>
      </c>
      <c r="B20" t="s">
        <v>49</v>
      </c>
      <c r="C20" t="s">
        <v>26</v>
      </c>
      <c r="D20">
        <v>15</v>
      </c>
      <c r="E20" t="s">
        <v>44</v>
      </c>
      <c r="F20" t="s">
        <v>50</v>
      </c>
      <c r="G20">
        <v>26.7</v>
      </c>
      <c r="H20" t="s">
        <v>14</v>
      </c>
      <c r="I20" t="s">
        <v>21</v>
      </c>
    </row>
    <row r="21" spans="1:9" x14ac:dyDescent="0.35">
      <c r="A21" t="s">
        <v>51</v>
      </c>
      <c r="B21" t="s">
        <v>52</v>
      </c>
      <c r="C21" t="s">
        <v>26</v>
      </c>
      <c r="D21">
        <v>12</v>
      </c>
      <c r="E21" t="s">
        <v>44</v>
      </c>
      <c r="F21" t="s">
        <v>53</v>
      </c>
      <c r="G21">
        <v>26.7</v>
      </c>
      <c r="H21" t="s">
        <v>14</v>
      </c>
      <c r="I21" t="s">
        <v>53</v>
      </c>
    </row>
    <row r="22" spans="1:9" x14ac:dyDescent="0.35">
      <c r="A22" t="s">
        <v>54</v>
      </c>
      <c r="B22" t="s">
        <v>55</v>
      </c>
      <c r="C22" t="s">
        <v>26</v>
      </c>
      <c r="D22">
        <v>13</v>
      </c>
      <c r="F22">
        <v>30</v>
      </c>
      <c r="G22">
        <v>26</v>
      </c>
      <c r="H22" t="s">
        <v>14</v>
      </c>
      <c r="I22">
        <v>30</v>
      </c>
    </row>
    <row r="23" spans="1:9" x14ac:dyDescent="0.35">
      <c r="A23" t="s">
        <v>56</v>
      </c>
      <c r="B23" t="s">
        <v>55</v>
      </c>
      <c r="C23" t="s">
        <v>26</v>
      </c>
      <c r="D23">
        <v>13</v>
      </c>
      <c r="F23">
        <v>30</v>
      </c>
      <c r="G23">
        <v>26</v>
      </c>
      <c r="H23" t="s">
        <v>14</v>
      </c>
      <c r="I23">
        <v>30</v>
      </c>
    </row>
    <row r="24" spans="1:9" x14ac:dyDescent="0.35">
      <c r="A24" t="s">
        <v>57</v>
      </c>
      <c r="B24" t="s">
        <v>55</v>
      </c>
      <c r="C24" t="s">
        <v>26</v>
      </c>
      <c r="D24">
        <v>13</v>
      </c>
      <c r="F24">
        <v>30</v>
      </c>
      <c r="G24">
        <v>26</v>
      </c>
      <c r="H24" t="s">
        <v>14</v>
      </c>
      <c r="I24">
        <v>30</v>
      </c>
    </row>
    <row r="25" spans="1:9" x14ac:dyDescent="0.35">
      <c r="A25" t="s">
        <v>58</v>
      </c>
      <c r="B25" t="s">
        <v>59</v>
      </c>
      <c r="C25" t="s">
        <v>26</v>
      </c>
      <c r="D25">
        <v>13</v>
      </c>
      <c r="F25">
        <v>30</v>
      </c>
      <c r="G25">
        <v>26</v>
      </c>
      <c r="H25" t="s">
        <v>14</v>
      </c>
      <c r="I25">
        <v>30</v>
      </c>
    </row>
    <row r="26" spans="1:9" x14ac:dyDescent="0.35">
      <c r="A26" t="s">
        <v>60</v>
      </c>
      <c r="B26" t="s">
        <v>59</v>
      </c>
      <c r="C26" t="s">
        <v>26</v>
      </c>
      <c r="D26">
        <v>13</v>
      </c>
      <c r="F26">
        <v>30</v>
      </c>
      <c r="G26">
        <v>26</v>
      </c>
      <c r="H26" t="s">
        <v>14</v>
      </c>
      <c r="I26">
        <v>30</v>
      </c>
    </row>
    <row r="27" spans="1:9" x14ac:dyDescent="0.35">
      <c r="A27" t="s">
        <v>61</v>
      </c>
      <c r="B27" t="s">
        <v>61</v>
      </c>
      <c r="C27" t="s">
        <v>26</v>
      </c>
      <c r="D27">
        <v>22</v>
      </c>
      <c r="F27">
        <v>30</v>
      </c>
      <c r="G27">
        <v>26</v>
      </c>
      <c r="H27" t="s">
        <v>14</v>
      </c>
      <c r="I27">
        <v>30</v>
      </c>
    </row>
    <row r="28" spans="1:9" x14ac:dyDescent="0.35">
      <c r="A28" t="s">
        <v>62</v>
      </c>
      <c r="B28" t="s">
        <v>62</v>
      </c>
      <c r="C28" t="s">
        <v>26</v>
      </c>
      <c r="D28">
        <v>1.6</v>
      </c>
      <c r="E28" t="s">
        <v>44</v>
      </c>
      <c r="F28" t="s">
        <v>21</v>
      </c>
      <c r="H28" t="s">
        <v>14</v>
      </c>
      <c r="I28" t="s">
        <v>21</v>
      </c>
    </row>
    <row r="29" spans="1:9" x14ac:dyDescent="0.35">
      <c r="A29" t="s">
        <v>63</v>
      </c>
      <c r="B29" t="s">
        <v>63</v>
      </c>
      <c r="C29" t="s">
        <v>26</v>
      </c>
      <c r="D29">
        <v>2.5</v>
      </c>
      <c r="E29" t="s">
        <v>64</v>
      </c>
      <c r="F29" t="s">
        <v>21</v>
      </c>
      <c r="H29" t="s">
        <v>14</v>
      </c>
      <c r="I29" t="s">
        <v>21</v>
      </c>
    </row>
    <row r="30" spans="1:9" x14ac:dyDescent="0.35">
      <c r="A30" t="s">
        <v>65</v>
      </c>
      <c r="B30" t="s">
        <v>66</v>
      </c>
      <c r="C30" t="s">
        <v>26</v>
      </c>
      <c r="D30">
        <v>12</v>
      </c>
      <c r="E30" t="s">
        <v>47</v>
      </c>
      <c r="F30">
        <v>30</v>
      </c>
      <c r="G30">
        <v>28</v>
      </c>
      <c r="H30" t="s">
        <v>14</v>
      </c>
      <c r="I30">
        <v>30</v>
      </c>
    </row>
    <row r="31" spans="1:9" x14ac:dyDescent="0.35">
      <c r="A31" t="s">
        <v>67</v>
      </c>
      <c r="B31" t="s">
        <v>68</v>
      </c>
      <c r="C31" t="s">
        <v>26</v>
      </c>
      <c r="D31">
        <v>12</v>
      </c>
      <c r="E31" t="s">
        <v>44</v>
      </c>
      <c r="F31">
        <v>30</v>
      </c>
      <c r="G31">
        <v>28</v>
      </c>
      <c r="H31" t="s">
        <v>14</v>
      </c>
      <c r="I31">
        <v>30</v>
      </c>
    </row>
    <row r="32" spans="1:9" x14ac:dyDescent="0.35">
      <c r="A32" t="s">
        <v>69</v>
      </c>
      <c r="B32" t="s">
        <v>68</v>
      </c>
      <c r="C32" t="s">
        <v>26</v>
      </c>
      <c r="D32">
        <v>12</v>
      </c>
      <c r="E32" t="s">
        <v>70</v>
      </c>
      <c r="F32">
        <v>30</v>
      </c>
      <c r="G32">
        <v>28</v>
      </c>
      <c r="H32" t="s">
        <v>14</v>
      </c>
      <c r="I32">
        <v>30</v>
      </c>
    </row>
    <row r="33" spans="1:9" x14ac:dyDescent="0.35">
      <c r="A33" t="s">
        <v>71</v>
      </c>
      <c r="B33" t="s">
        <v>72</v>
      </c>
      <c r="C33" t="s">
        <v>20</v>
      </c>
      <c r="D33">
        <v>0.5</v>
      </c>
      <c r="E33" t="s">
        <v>12</v>
      </c>
      <c r="F33" t="s">
        <v>73</v>
      </c>
      <c r="H33" t="s">
        <v>14</v>
      </c>
      <c r="I33" t="s">
        <v>21</v>
      </c>
    </row>
    <row r="34" spans="1:9" x14ac:dyDescent="0.35">
      <c r="A34" t="s">
        <v>74</v>
      </c>
      <c r="B34" t="s">
        <v>75</v>
      </c>
      <c r="C34" t="s">
        <v>26</v>
      </c>
      <c r="D34">
        <v>0.35</v>
      </c>
      <c r="E34" t="s">
        <v>12</v>
      </c>
      <c r="F34" t="s">
        <v>21</v>
      </c>
      <c r="G34">
        <v>6.8</v>
      </c>
      <c r="H34" t="s">
        <v>14</v>
      </c>
      <c r="I34" t="s">
        <v>21</v>
      </c>
    </row>
    <row r="35" spans="1:9" x14ac:dyDescent="0.35">
      <c r="A35" t="s">
        <v>76</v>
      </c>
      <c r="B35" t="s">
        <v>76</v>
      </c>
      <c r="C35" t="s">
        <v>20</v>
      </c>
      <c r="D35">
        <v>0.5</v>
      </c>
      <c r="F35">
        <v>30</v>
      </c>
      <c r="G35">
        <v>6</v>
      </c>
      <c r="H35" t="s">
        <v>14</v>
      </c>
      <c r="I35">
        <v>30</v>
      </c>
    </row>
    <row r="36" spans="1:9" x14ac:dyDescent="0.35">
      <c r="A36" t="s">
        <v>77</v>
      </c>
      <c r="B36" t="s">
        <v>78</v>
      </c>
      <c r="C36" t="s">
        <v>26</v>
      </c>
      <c r="D36" t="s">
        <v>79</v>
      </c>
      <c r="E36" t="s">
        <v>44</v>
      </c>
      <c r="F36" t="s">
        <v>21</v>
      </c>
      <c r="H36" t="s">
        <v>14</v>
      </c>
      <c r="I36" t="s">
        <v>21</v>
      </c>
    </row>
    <row r="37" spans="1:9" x14ac:dyDescent="0.35">
      <c r="A37" t="s">
        <v>80</v>
      </c>
      <c r="B37" t="s">
        <v>78</v>
      </c>
      <c r="C37" t="s">
        <v>26</v>
      </c>
      <c r="D37" t="s">
        <v>79</v>
      </c>
      <c r="E37" t="s">
        <v>70</v>
      </c>
      <c r="F37" t="s">
        <v>21</v>
      </c>
      <c r="H37" t="s">
        <v>14</v>
      </c>
      <c r="I37" t="s">
        <v>21</v>
      </c>
    </row>
    <row r="38" spans="1:9" x14ac:dyDescent="0.35">
      <c r="A38" t="s">
        <v>81</v>
      </c>
      <c r="B38" t="s">
        <v>82</v>
      </c>
      <c r="C38" t="s">
        <v>26</v>
      </c>
      <c r="D38">
        <v>0.3</v>
      </c>
      <c r="E38" t="s">
        <v>12</v>
      </c>
      <c r="F38" t="s">
        <v>83</v>
      </c>
      <c r="H38" t="s">
        <v>14</v>
      </c>
      <c r="I38" t="s">
        <v>84</v>
      </c>
    </row>
    <row r="39" spans="1:9" x14ac:dyDescent="0.35">
      <c r="A39" t="s">
        <v>85</v>
      </c>
      <c r="B39" t="s">
        <v>85</v>
      </c>
      <c r="C39" t="s">
        <v>20</v>
      </c>
      <c r="D39">
        <v>0.45</v>
      </c>
      <c r="E39" t="s">
        <v>70</v>
      </c>
      <c r="F39">
        <v>30</v>
      </c>
      <c r="H39" t="s">
        <v>14</v>
      </c>
      <c r="I39">
        <v>15</v>
      </c>
    </row>
    <row r="40" spans="1:9" x14ac:dyDescent="0.35">
      <c r="A40" t="s">
        <v>86</v>
      </c>
      <c r="B40" t="s">
        <v>86</v>
      </c>
      <c r="C40" t="s">
        <v>26</v>
      </c>
      <c r="D40">
        <v>0.3</v>
      </c>
      <c r="E40" t="s">
        <v>12</v>
      </c>
      <c r="F40" t="s">
        <v>87</v>
      </c>
      <c r="G40">
        <v>20</v>
      </c>
      <c r="H40" t="s">
        <v>14</v>
      </c>
      <c r="I40" t="s">
        <v>87</v>
      </c>
    </row>
    <row r="41" spans="1:9" x14ac:dyDescent="0.35">
      <c r="A41" t="s">
        <v>88</v>
      </c>
      <c r="B41" t="s">
        <v>89</v>
      </c>
      <c r="C41" t="s">
        <v>26</v>
      </c>
      <c r="D41">
        <v>0.3</v>
      </c>
      <c r="E41" t="s">
        <v>12</v>
      </c>
      <c r="F41" t="s">
        <v>83</v>
      </c>
      <c r="H41" t="s">
        <v>14</v>
      </c>
      <c r="I41" t="s">
        <v>84</v>
      </c>
    </row>
    <row r="42" spans="1:9" x14ac:dyDescent="0.35">
      <c r="A42" t="s">
        <v>90</v>
      </c>
      <c r="B42" t="s">
        <v>90</v>
      </c>
      <c r="C42" t="s">
        <v>26</v>
      </c>
      <c r="D42">
        <v>0.3</v>
      </c>
      <c r="E42" t="s">
        <v>12</v>
      </c>
      <c r="F42" t="s">
        <v>87</v>
      </c>
      <c r="G42">
        <v>30</v>
      </c>
      <c r="H42" t="s">
        <v>14</v>
      </c>
      <c r="I42" t="s">
        <v>87</v>
      </c>
    </row>
    <row r="43" spans="1:9" x14ac:dyDescent="0.35">
      <c r="A43" t="s">
        <v>91</v>
      </c>
      <c r="B43" t="s">
        <v>92</v>
      </c>
      <c r="C43" t="s">
        <v>26</v>
      </c>
      <c r="D43">
        <v>3</v>
      </c>
      <c r="E43" t="s">
        <v>93</v>
      </c>
      <c r="F43" t="s">
        <v>21</v>
      </c>
      <c r="H43" t="s">
        <v>14</v>
      </c>
      <c r="I43" t="s">
        <v>21</v>
      </c>
    </row>
    <row r="44" spans="1:9" x14ac:dyDescent="0.35">
      <c r="A44" t="s">
        <v>94</v>
      </c>
      <c r="B44" t="s">
        <v>94</v>
      </c>
      <c r="C44" t="s">
        <v>26</v>
      </c>
      <c r="D44" t="s">
        <v>79</v>
      </c>
      <c r="E44" t="s">
        <v>47</v>
      </c>
      <c r="F44">
        <f>22/-22</f>
        <v>-1</v>
      </c>
      <c r="G44">
        <v>8.5</v>
      </c>
      <c r="H44" t="s">
        <v>14</v>
      </c>
      <c r="I44" t="s">
        <v>21</v>
      </c>
    </row>
    <row r="45" spans="1:9" x14ac:dyDescent="0.35">
      <c r="A45" t="s">
        <v>95</v>
      </c>
      <c r="B45" t="s">
        <v>95</v>
      </c>
      <c r="C45" t="s">
        <v>26</v>
      </c>
      <c r="D45" t="s">
        <v>79</v>
      </c>
      <c r="E45" t="s">
        <v>23</v>
      </c>
      <c r="F45" t="s">
        <v>96</v>
      </c>
      <c r="G45">
        <v>8.5</v>
      </c>
      <c r="H45" t="s">
        <v>14</v>
      </c>
      <c r="I45" t="s">
        <v>21</v>
      </c>
    </row>
    <row r="46" spans="1:9" x14ac:dyDescent="0.35">
      <c r="A46" t="s">
        <v>97</v>
      </c>
      <c r="B46" t="s">
        <v>97</v>
      </c>
      <c r="C46" t="s">
        <v>20</v>
      </c>
      <c r="D46" t="s">
        <v>79</v>
      </c>
      <c r="E46" t="s">
        <v>47</v>
      </c>
      <c r="F46">
        <v>-1</v>
      </c>
      <c r="G46">
        <v>7.5</v>
      </c>
      <c r="H46" t="s">
        <v>14</v>
      </c>
      <c r="I46" t="s">
        <v>21</v>
      </c>
    </row>
    <row r="47" spans="1:9" x14ac:dyDescent="0.35">
      <c r="A47" t="s">
        <v>98</v>
      </c>
      <c r="B47" t="s">
        <v>98</v>
      </c>
      <c r="C47" t="s">
        <v>20</v>
      </c>
      <c r="D47" t="s">
        <v>79</v>
      </c>
      <c r="E47" t="s">
        <v>23</v>
      </c>
      <c r="F47" t="s">
        <v>96</v>
      </c>
      <c r="G47">
        <v>7.5</v>
      </c>
      <c r="H47" t="s">
        <v>14</v>
      </c>
      <c r="I47" t="s">
        <v>21</v>
      </c>
    </row>
    <row r="48" spans="1:9" x14ac:dyDescent="0.35">
      <c r="A48" t="s">
        <v>99</v>
      </c>
      <c r="B48" t="s">
        <v>99</v>
      </c>
      <c r="C48" t="s">
        <v>26</v>
      </c>
      <c r="D48">
        <v>0.25</v>
      </c>
      <c r="E48" t="s">
        <v>12</v>
      </c>
      <c r="F48" t="s">
        <v>84</v>
      </c>
      <c r="H48" t="s">
        <v>14</v>
      </c>
      <c r="I48" t="s">
        <v>84</v>
      </c>
    </row>
    <row r="49" spans="1:9" x14ac:dyDescent="0.35">
      <c r="A49" t="s">
        <v>100</v>
      </c>
      <c r="B49" t="s">
        <v>101</v>
      </c>
      <c r="C49" t="s">
        <v>20</v>
      </c>
      <c r="D49">
        <v>2.5</v>
      </c>
      <c r="E49" t="s">
        <v>47</v>
      </c>
      <c r="F49" t="s">
        <v>21</v>
      </c>
      <c r="G49">
        <v>3.5</v>
      </c>
      <c r="H49" t="s">
        <v>14</v>
      </c>
      <c r="I49" t="s">
        <v>21</v>
      </c>
    </row>
    <row r="50" spans="1:9" x14ac:dyDescent="0.35">
      <c r="A50" t="s">
        <v>102</v>
      </c>
      <c r="B50" t="s">
        <v>101</v>
      </c>
      <c r="C50" t="s">
        <v>26</v>
      </c>
      <c r="D50">
        <v>2.5</v>
      </c>
      <c r="E50" t="s">
        <v>47</v>
      </c>
      <c r="F50" t="s">
        <v>21</v>
      </c>
      <c r="G50">
        <v>3.5</v>
      </c>
      <c r="H50" t="s">
        <v>14</v>
      </c>
      <c r="I50" t="s">
        <v>21</v>
      </c>
    </row>
    <row r="51" spans="1:9" x14ac:dyDescent="0.35">
      <c r="A51" t="s">
        <v>103</v>
      </c>
      <c r="B51" t="s">
        <v>104</v>
      </c>
      <c r="C51" t="s">
        <v>20</v>
      </c>
      <c r="D51">
        <v>2.5</v>
      </c>
      <c r="E51" t="s">
        <v>47</v>
      </c>
      <c r="F51" t="s">
        <v>21</v>
      </c>
      <c r="G51">
        <v>6.3</v>
      </c>
      <c r="H51" t="s">
        <v>14</v>
      </c>
      <c r="I51" t="s">
        <v>21</v>
      </c>
    </row>
    <row r="52" spans="1:9" x14ac:dyDescent="0.35">
      <c r="A52" t="s">
        <v>105</v>
      </c>
      <c r="B52" t="s">
        <v>104</v>
      </c>
      <c r="C52" t="s">
        <v>26</v>
      </c>
      <c r="D52">
        <v>2.5</v>
      </c>
      <c r="E52" t="s">
        <v>47</v>
      </c>
      <c r="F52" t="s">
        <v>21</v>
      </c>
      <c r="G52">
        <v>6.3</v>
      </c>
      <c r="H52" t="s">
        <v>14</v>
      </c>
      <c r="I52" t="s">
        <v>21</v>
      </c>
    </row>
    <row r="53" spans="1:9" x14ac:dyDescent="0.35">
      <c r="A53" t="s">
        <v>106</v>
      </c>
      <c r="B53" t="s">
        <v>107</v>
      </c>
      <c r="C53" t="s">
        <v>20</v>
      </c>
      <c r="D53">
        <v>1.3</v>
      </c>
      <c r="E53" t="s">
        <v>47</v>
      </c>
      <c r="F53" t="s">
        <v>21</v>
      </c>
      <c r="G53">
        <v>13.3</v>
      </c>
      <c r="H53" t="s">
        <v>14</v>
      </c>
      <c r="I53" t="s">
        <v>21</v>
      </c>
    </row>
    <row r="54" spans="1:9" x14ac:dyDescent="0.35">
      <c r="A54" t="s">
        <v>108</v>
      </c>
      <c r="B54" t="s">
        <v>107</v>
      </c>
      <c r="C54" t="s">
        <v>26</v>
      </c>
      <c r="D54">
        <v>1.3</v>
      </c>
      <c r="E54" t="s">
        <v>47</v>
      </c>
      <c r="F54" t="s">
        <v>21</v>
      </c>
      <c r="G54">
        <v>13.3</v>
      </c>
      <c r="H54" t="s">
        <v>14</v>
      </c>
      <c r="I54" t="s">
        <v>21</v>
      </c>
    </row>
    <row r="55" spans="1:9" x14ac:dyDescent="0.35">
      <c r="A55" t="s">
        <v>109</v>
      </c>
      <c r="B55" t="s">
        <v>110</v>
      </c>
      <c r="C55" t="s">
        <v>20</v>
      </c>
      <c r="D55">
        <v>1.3</v>
      </c>
      <c r="E55" t="s">
        <v>47</v>
      </c>
      <c r="F55" t="s">
        <v>21</v>
      </c>
      <c r="G55">
        <v>16</v>
      </c>
      <c r="H55" t="s">
        <v>14</v>
      </c>
      <c r="I55" t="s">
        <v>21</v>
      </c>
    </row>
    <row r="56" spans="1:9" x14ac:dyDescent="0.35">
      <c r="A56" t="s">
        <v>111</v>
      </c>
      <c r="B56" t="s">
        <v>110</v>
      </c>
      <c r="C56" t="s">
        <v>26</v>
      </c>
      <c r="D56">
        <v>1.3</v>
      </c>
      <c r="E56" t="s">
        <v>47</v>
      </c>
      <c r="F56" t="s">
        <v>21</v>
      </c>
      <c r="G56">
        <v>16</v>
      </c>
      <c r="H56" t="s">
        <v>14</v>
      </c>
      <c r="I56" t="s">
        <v>21</v>
      </c>
    </row>
    <row r="57" spans="1:9" x14ac:dyDescent="0.35">
      <c r="A57" t="s">
        <v>112</v>
      </c>
      <c r="B57" t="s">
        <v>113</v>
      </c>
      <c r="C57" t="s">
        <v>20</v>
      </c>
      <c r="D57">
        <v>1.3</v>
      </c>
      <c r="E57" t="s">
        <v>47</v>
      </c>
      <c r="F57" t="s">
        <v>21</v>
      </c>
      <c r="G57">
        <v>26</v>
      </c>
      <c r="H57" t="s">
        <v>14</v>
      </c>
      <c r="I57" t="s">
        <v>21</v>
      </c>
    </row>
    <row r="58" spans="1:9" x14ac:dyDescent="0.35">
      <c r="A58" t="s">
        <v>114</v>
      </c>
      <c r="B58" t="s">
        <v>113</v>
      </c>
      <c r="C58" t="s">
        <v>26</v>
      </c>
      <c r="D58">
        <v>1.3</v>
      </c>
      <c r="E58" t="s">
        <v>47</v>
      </c>
      <c r="F58" t="s">
        <v>21</v>
      </c>
      <c r="G58">
        <v>26</v>
      </c>
      <c r="H58" t="s">
        <v>14</v>
      </c>
      <c r="I58" t="s">
        <v>21</v>
      </c>
    </row>
    <row r="59" spans="1:9" x14ac:dyDescent="0.35">
      <c r="A59" t="s">
        <v>115</v>
      </c>
      <c r="B59" t="s">
        <v>115</v>
      </c>
      <c r="C59" t="s">
        <v>26</v>
      </c>
      <c r="D59">
        <v>0.25</v>
      </c>
      <c r="E59" t="s">
        <v>12</v>
      </c>
      <c r="F59">
        <v>15</v>
      </c>
      <c r="G59">
        <v>6.5</v>
      </c>
      <c r="H59" t="s">
        <v>14</v>
      </c>
      <c r="I59">
        <v>15</v>
      </c>
    </row>
    <row r="60" spans="1:9" x14ac:dyDescent="0.35">
      <c r="A60" t="s">
        <v>116</v>
      </c>
      <c r="B60" t="s">
        <v>116</v>
      </c>
      <c r="C60" t="s">
        <v>26</v>
      </c>
      <c r="D60">
        <v>0.4</v>
      </c>
      <c r="E60" t="s">
        <v>12</v>
      </c>
      <c r="F60">
        <v>12</v>
      </c>
      <c r="G60">
        <v>26</v>
      </c>
      <c r="H60" t="s">
        <v>14</v>
      </c>
      <c r="I60">
        <v>22</v>
      </c>
    </row>
    <row r="61" spans="1:9" x14ac:dyDescent="0.35">
      <c r="A61" t="s">
        <v>117</v>
      </c>
      <c r="B61" t="s">
        <v>117</v>
      </c>
      <c r="C61" t="s">
        <v>26</v>
      </c>
      <c r="D61">
        <v>0.25</v>
      </c>
      <c r="E61" t="s">
        <v>12</v>
      </c>
      <c r="F61" t="s">
        <v>84</v>
      </c>
      <c r="H61" t="s">
        <v>14</v>
      </c>
      <c r="I61" t="s">
        <v>84</v>
      </c>
    </row>
    <row r="62" spans="1:9" x14ac:dyDescent="0.35">
      <c r="A62" t="s">
        <v>118</v>
      </c>
      <c r="B62" t="s">
        <v>118</v>
      </c>
      <c r="C62" t="s">
        <v>26</v>
      </c>
      <c r="D62">
        <v>0.2</v>
      </c>
      <c r="E62" t="s">
        <v>12</v>
      </c>
      <c r="F62">
        <v>15</v>
      </c>
      <c r="G62">
        <v>5.5</v>
      </c>
      <c r="H62" t="s">
        <v>14</v>
      </c>
      <c r="I62">
        <v>25</v>
      </c>
    </row>
    <row r="63" spans="1:9" x14ac:dyDescent="0.35">
      <c r="A63" t="s">
        <v>119</v>
      </c>
      <c r="B63" t="s">
        <v>119</v>
      </c>
      <c r="C63" t="s">
        <v>26</v>
      </c>
      <c r="D63">
        <v>1.6</v>
      </c>
      <c r="E63" t="s">
        <v>44</v>
      </c>
      <c r="F63">
        <v>30</v>
      </c>
      <c r="H63" t="s">
        <v>14</v>
      </c>
      <c r="I63">
        <v>30</v>
      </c>
    </row>
    <row r="64" spans="1:9" x14ac:dyDescent="0.35">
      <c r="A64" t="s">
        <v>120</v>
      </c>
      <c r="B64" t="s">
        <v>120</v>
      </c>
      <c r="C64" t="s">
        <v>20</v>
      </c>
      <c r="D64">
        <v>0.32</v>
      </c>
      <c r="E64" t="s">
        <v>121</v>
      </c>
      <c r="F64">
        <v>12</v>
      </c>
      <c r="G64">
        <v>6.5</v>
      </c>
      <c r="H64" t="s">
        <v>14</v>
      </c>
      <c r="I64">
        <v>15</v>
      </c>
    </row>
    <row r="65" spans="1:9" x14ac:dyDescent="0.35">
      <c r="A65" t="s">
        <v>122</v>
      </c>
      <c r="B65" t="s">
        <v>122</v>
      </c>
      <c r="C65" t="s">
        <v>20</v>
      </c>
      <c r="D65">
        <v>0.3</v>
      </c>
      <c r="E65" t="s">
        <v>121</v>
      </c>
      <c r="F65">
        <f>30/-22</f>
        <v>-1.3636363636363635</v>
      </c>
      <c r="H65" t="s">
        <v>14</v>
      </c>
      <c r="I65" t="s">
        <v>87</v>
      </c>
    </row>
    <row r="66" spans="1:9" x14ac:dyDescent="0.35">
      <c r="A66" t="s">
        <v>123</v>
      </c>
      <c r="B66" t="s">
        <v>124</v>
      </c>
      <c r="C66" t="s">
        <v>20</v>
      </c>
      <c r="D66" t="s">
        <v>79</v>
      </c>
      <c r="E66" t="s">
        <v>12</v>
      </c>
      <c r="F66" t="s">
        <v>21</v>
      </c>
      <c r="G66">
        <v>13.3</v>
      </c>
      <c r="H66" t="s">
        <v>14</v>
      </c>
      <c r="I66" t="s">
        <v>21</v>
      </c>
    </row>
    <row r="67" spans="1:9" x14ac:dyDescent="0.35">
      <c r="A67" t="s">
        <v>125</v>
      </c>
      <c r="B67" t="s">
        <v>124</v>
      </c>
      <c r="C67" t="s">
        <v>20</v>
      </c>
      <c r="D67" t="s">
        <v>79</v>
      </c>
      <c r="E67" t="s">
        <v>12</v>
      </c>
      <c r="F67" t="s">
        <v>21</v>
      </c>
      <c r="G67">
        <v>16.7</v>
      </c>
      <c r="H67" t="s">
        <v>14</v>
      </c>
      <c r="I67" t="s">
        <v>21</v>
      </c>
    </row>
    <row r="68" spans="1:9" x14ac:dyDescent="0.35">
      <c r="A68" t="s">
        <v>126</v>
      </c>
      <c r="B68" t="s">
        <v>124</v>
      </c>
      <c r="C68" t="s">
        <v>20</v>
      </c>
      <c r="D68" t="s">
        <v>79</v>
      </c>
      <c r="E68" t="s">
        <v>12</v>
      </c>
      <c r="F68" t="s">
        <v>21</v>
      </c>
      <c r="G68">
        <v>26.7</v>
      </c>
      <c r="H68" t="s">
        <v>14</v>
      </c>
      <c r="I68" t="s">
        <v>127</v>
      </c>
    </row>
    <row r="69" spans="1:9" x14ac:dyDescent="0.35">
      <c r="A69" t="s">
        <v>128</v>
      </c>
      <c r="B69" t="s">
        <v>124</v>
      </c>
      <c r="C69" t="s">
        <v>20</v>
      </c>
      <c r="D69" t="s">
        <v>79</v>
      </c>
      <c r="E69" t="s">
        <v>12</v>
      </c>
      <c r="F69" t="s">
        <v>73</v>
      </c>
      <c r="G69">
        <v>40</v>
      </c>
      <c r="H69" t="s">
        <v>14</v>
      </c>
      <c r="I69" t="s">
        <v>84</v>
      </c>
    </row>
    <row r="70" spans="1:9" x14ac:dyDescent="0.35">
      <c r="A70" t="s">
        <v>129</v>
      </c>
      <c r="B70" t="s">
        <v>130</v>
      </c>
      <c r="C70" t="s">
        <v>26</v>
      </c>
      <c r="D70" t="s">
        <v>79</v>
      </c>
      <c r="E70" t="s">
        <v>12</v>
      </c>
      <c r="F70" t="s">
        <v>21</v>
      </c>
      <c r="G70">
        <v>13.3</v>
      </c>
      <c r="H70" t="s">
        <v>14</v>
      </c>
      <c r="I70" t="s">
        <v>21</v>
      </c>
    </row>
    <row r="71" spans="1:9" x14ac:dyDescent="0.35">
      <c r="A71" t="s">
        <v>131</v>
      </c>
      <c r="B71" t="s">
        <v>130</v>
      </c>
      <c r="C71" t="s">
        <v>26</v>
      </c>
      <c r="D71" t="s">
        <v>79</v>
      </c>
      <c r="E71" t="s">
        <v>12</v>
      </c>
      <c r="F71" t="s">
        <v>21</v>
      </c>
      <c r="G71">
        <v>16.7</v>
      </c>
      <c r="H71" t="s">
        <v>14</v>
      </c>
      <c r="I71" t="s">
        <v>21</v>
      </c>
    </row>
    <row r="72" spans="1:9" x14ac:dyDescent="0.35">
      <c r="A72" t="s">
        <v>132</v>
      </c>
      <c r="B72" t="s">
        <v>130</v>
      </c>
      <c r="C72" t="s">
        <v>26</v>
      </c>
      <c r="D72" t="s">
        <v>79</v>
      </c>
      <c r="E72" t="s">
        <v>12</v>
      </c>
      <c r="F72" t="s">
        <v>21</v>
      </c>
      <c r="G72">
        <v>26.7</v>
      </c>
      <c r="H72" t="s">
        <v>14</v>
      </c>
      <c r="I72" t="s">
        <v>127</v>
      </c>
    </row>
    <row r="73" spans="1:9" x14ac:dyDescent="0.35">
      <c r="A73" t="s">
        <v>133</v>
      </c>
      <c r="B73" t="s">
        <v>130</v>
      </c>
      <c r="C73" t="s">
        <v>26</v>
      </c>
      <c r="D73" t="s">
        <v>79</v>
      </c>
      <c r="E73" t="s">
        <v>12</v>
      </c>
      <c r="F73" t="s">
        <v>73</v>
      </c>
      <c r="G73">
        <v>40</v>
      </c>
      <c r="H73" t="s">
        <v>14</v>
      </c>
      <c r="I73" t="s">
        <v>84</v>
      </c>
    </row>
    <row r="74" spans="1:9" x14ac:dyDescent="0.35">
      <c r="A74" t="s">
        <v>134</v>
      </c>
      <c r="B74" t="s">
        <v>135</v>
      </c>
      <c r="C74" t="s">
        <v>20</v>
      </c>
      <c r="D74">
        <v>55.5</v>
      </c>
      <c r="E74" t="s">
        <v>23</v>
      </c>
      <c r="F74" t="s">
        <v>21</v>
      </c>
      <c r="H74" t="s">
        <v>14</v>
      </c>
      <c r="I74" t="s">
        <v>21</v>
      </c>
    </row>
    <row r="75" spans="1:9" x14ac:dyDescent="0.35">
      <c r="A75" t="s">
        <v>136</v>
      </c>
      <c r="B75" t="s">
        <v>135</v>
      </c>
      <c r="C75" t="s">
        <v>20</v>
      </c>
      <c r="D75">
        <v>43</v>
      </c>
      <c r="E75" t="s">
        <v>23</v>
      </c>
      <c r="F75" t="s">
        <v>21</v>
      </c>
      <c r="H75" t="s">
        <v>14</v>
      </c>
      <c r="I75" t="s">
        <v>21</v>
      </c>
    </row>
    <row r="76" spans="1:9" x14ac:dyDescent="0.35">
      <c r="A76" t="s">
        <v>137</v>
      </c>
      <c r="B76" t="s">
        <v>135</v>
      </c>
      <c r="C76" t="s">
        <v>20</v>
      </c>
      <c r="D76">
        <v>30</v>
      </c>
      <c r="E76" t="s">
        <v>23</v>
      </c>
      <c r="F76" t="s">
        <v>50</v>
      </c>
      <c r="H76" t="s">
        <v>14</v>
      </c>
      <c r="I76" t="s">
        <v>21</v>
      </c>
    </row>
    <row r="77" spans="1:9" x14ac:dyDescent="0.35">
      <c r="A77" t="s">
        <v>138</v>
      </c>
      <c r="B77" t="s">
        <v>135</v>
      </c>
      <c r="C77" t="s">
        <v>20</v>
      </c>
      <c r="D77">
        <v>23</v>
      </c>
      <c r="E77" t="s">
        <v>23</v>
      </c>
      <c r="F77" t="s">
        <v>84</v>
      </c>
      <c r="H77" t="s">
        <v>14</v>
      </c>
      <c r="I77" t="s">
        <v>73</v>
      </c>
    </row>
    <row r="78" spans="1:9" x14ac:dyDescent="0.35">
      <c r="A78" t="s">
        <v>139</v>
      </c>
      <c r="B78" t="s">
        <v>140</v>
      </c>
      <c r="C78" t="s">
        <v>26</v>
      </c>
      <c r="D78">
        <v>27</v>
      </c>
      <c r="E78" t="s">
        <v>23</v>
      </c>
      <c r="F78" t="s">
        <v>21</v>
      </c>
      <c r="H78" t="s">
        <v>14</v>
      </c>
      <c r="I78" t="s">
        <v>21</v>
      </c>
    </row>
    <row r="79" spans="1:9" x14ac:dyDescent="0.35">
      <c r="A79" t="s">
        <v>141</v>
      </c>
      <c r="B79" t="s">
        <v>140</v>
      </c>
      <c r="C79" t="s">
        <v>26</v>
      </c>
      <c r="D79">
        <v>21</v>
      </c>
      <c r="E79" t="s">
        <v>23</v>
      </c>
      <c r="F79" t="s">
        <v>21</v>
      </c>
      <c r="H79" t="s">
        <v>14</v>
      </c>
      <c r="I79" t="s">
        <v>21</v>
      </c>
    </row>
    <row r="80" spans="1:9" x14ac:dyDescent="0.35">
      <c r="A80" t="s">
        <v>142</v>
      </c>
      <c r="B80" t="s">
        <v>140</v>
      </c>
      <c r="C80" t="s">
        <v>26</v>
      </c>
      <c r="D80">
        <v>15</v>
      </c>
      <c r="E80" t="s">
        <v>23</v>
      </c>
      <c r="F80" t="s">
        <v>21</v>
      </c>
      <c r="H80" t="s">
        <v>14</v>
      </c>
      <c r="I80" t="s">
        <v>127</v>
      </c>
    </row>
    <row r="81" spans="1:9" x14ac:dyDescent="0.35">
      <c r="A81" t="s">
        <v>143</v>
      </c>
      <c r="B81" t="s">
        <v>140</v>
      </c>
      <c r="C81" t="s">
        <v>26</v>
      </c>
      <c r="D81">
        <v>11.5</v>
      </c>
      <c r="E81" t="s">
        <v>23</v>
      </c>
      <c r="F81" t="s">
        <v>73</v>
      </c>
      <c r="H81" t="s">
        <v>14</v>
      </c>
      <c r="I81" t="s">
        <v>84</v>
      </c>
    </row>
    <row r="82" spans="1:9" x14ac:dyDescent="0.35">
      <c r="A82" t="s">
        <v>144</v>
      </c>
      <c r="B82" t="s">
        <v>144</v>
      </c>
      <c r="C82" t="s">
        <v>20</v>
      </c>
      <c r="D82">
        <v>1</v>
      </c>
      <c r="E82" t="s">
        <v>145</v>
      </c>
      <c r="F82">
        <v>30</v>
      </c>
      <c r="G82">
        <v>6</v>
      </c>
      <c r="H82" t="s">
        <v>14</v>
      </c>
      <c r="I82">
        <v>30</v>
      </c>
    </row>
    <row r="83" spans="1:9" x14ac:dyDescent="0.35">
      <c r="A83" t="s">
        <v>146</v>
      </c>
      <c r="B83" t="s">
        <v>146</v>
      </c>
      <c r="C83" t="s">
        <v>20</v>
      </c>
      <c r="D83">
        <v>230</v>
      </c>
      <c r="E83" t="s">
        <v>47</v>
      </c>
      <c r="F83" t="s">
        <v>21</v>
      </c>
      <c r="G83">
        <v>6</v>
      </c>
      <c r="H83" t="s">
        <v>14</v>
      </c>
      <c r="I83" t="s">
        <v>21</v>
      </c>
    </row>
    <row r="84" spans="1:9" x14ac:dyDescent="0.35">
      <c r="A84" t="s">
        <v>147</v>
      </c>
      <c r="B84" t="s">
        <v>147</v>
      </c>
      <c r="C84" t="s">
        <v>26</v>
      </c>
      <c r="D84">
        <v>115</v>
      </c>
      <c r="E84" t="s">
        <v>47</v>
      </c>
      <c r="F84" t="s">
        <v>21</v>
      </c>
      <c r="G84">
        <v>6</v>
      </c>
      <c r="H84" t="s">
        <v>14</v>
      </c>
      <c r="I84" t="s">
        <v>21</v>
      </c>
    </row>
    <row r="85" spans="1:9" x14ac:dyDescent="0.35">
      <c r="A85" t="s">
        <v>148</v>
      </c>
      <c r="B85" t="s">
        <v>149</v>
      </c>
      <c r="C85" t="s">
        <v>20</v>
      </c>
      <c r="D85">
        <v>1320</v>
      </c>
      <c r="E85" t="s">
        <v>150</v>
      </c>
      <c r="F85">
        <v>30</v>
      </c>
      <c r="G85">
        <v>6.4</v>
      </c>
      <c r="H85" t="s">
        <v>14</v>
      </c>
      <c r="I85">
        <v>30</v>
      </c>
    </row>
    <row r="86" spans="1:9" x14ac:dyDescent="0.35">
      <c r="A86" t="s">
        <v>151</v>
      </c>
      <c r="B86" t="s">
        <v>149</v>
      </c>
      <c r="C86" t="s">
        <v>20</v>
      </c>
      <c r="D86">
        <v>1200</v>
      </c>
      <c r="E86" t="s">
        <v>150</v>
      </c>
      <c r="F86">
        <v>30</v>
      </c>
      <c r="G86">
        <v>6.6</v>
      </c>
      <c r="H86" t="s">
        <v>14</v>
      </c>
      <c r="I86">
        <v>30</v>
      </c>
    </row>
    <row r="87" spans="1:9" x14ac:dyDescent="0.35">
      <c r="A87" t="s">
        <v>152</v>
      </c>
      <c r="B87" t="s">
        <v>149</v>
      </c>
      <c r="C87" t="s">
        <v>20</v>
      </c>
      <c r="D87">
        <v>470</v>
      </c>
      <c r="E87" t="s">
        <v>150</v>
      </c>
      <c r="F87">
        <v>30</v>
      </c>
      <c r="G87">
        <v>13.3</v>
      </c>
      <c r="H87" t="s">
        <v>14</v>
      </c>
      <c r="I87">
        <v>30</v>
      </c>
    </row>
    <row r="88" spans="1:9" x14ac:dyDescent="0.35">
      <c r="A88" t="s">
        <v>153</v>
      </c>
      <c r="B88" t="s">
        <v>149</v>
      </c>
      <c r="C88" t="s">
        <v>20</v>
      </c>
      <c r="D88">
        <v>410</v>
      </c>
      <c r="E88" t="s">
        <v>150</v>
      </c>
      <c r="F88">
        <v>30</v>
      </c>
      <c r="G88">
        <v>16.7</v>
      </c>
      <c r="H88" t="s">
        <v>14</v>
      </c>
      <c r="I88">
        <v>30</v>
      </c>
    </row>
    <row r="89" spans="1:9" x14ac:dyDescent="0.35">
      <c r="A89" t="s">
        <v>154</v>
      </c>
      <c r="B89" t="s">
        <v>149</v>
      </c>
      <c r="C89" t="s">
        <v>20</v>
      </c>
      <c r="D89">
        <v>285</v>
      </c>
      <c r="E89" t="s">
        <v>150</v>
      </c>
      <c r="F89">
        <v>30</v>
      </c>
      <c r="G89">
        <v>24.4</v>
      </c>
      <c r="H89" t="s">
        <v>14</v>
      </c>
      <c r="I89">
        <v>30</v>
      </c>
    </row>
    <row r="90" spans="1:9" x14ac:dyDescent="0.35">
      <c r="A90" t="s">
        <v>155</v>
      </c>
      <c r="B90" t="s">
        <v>149</v>
      </c>
      <c r="C90" t="s">
        <v>20</v>
      </c>
      <c r="D90">
        <v>240</v>
      </c>
      <c r="E90" t="s">
        <v>150</v>
      </c>
      <c r="F90">
        <v>30</v>
      </c>
      <c r="G90">
        <v>26.7</v>
      </c>
      <c r="H90" t="s">
        <v>14</v>
      </c>
      <c r="I90">
        <v>30</v>
      </c>
    </row>
    <row r="91" spans="1:9" x14ac:dyDescent="0.35">
      <c r="A91" t="s">
        <v>156</v>
      </c>
      <c r="B91" t="s">
        <v>149</v>
      </c>
      <c r="C91" t="s">
        <v>20</v>
      </c>
      <c r="D91">
        <v>200</v>
      </c>
      <c r="E91" t="s">
        <v>150</v>
      </c>
      <c r="F91">
        <v>30</v>
      </c>
      <c r="G91">
        <v>31.1</v>
      </c>
      <c r="H91" t="s">
        <v>14</v>
      </c>
      <c r="I91">
        <v>30</v>
      </c>
    </row>
    <row r="92" spans="1:9" x14ac:dyDescent="0.35">
      <c r="A92" t="s">
        <v>157</v>
      </c>
      <c r="B92" t="s">
        <v>149</v>
      </c>
      <c r="C92" t="s">
        <v>20</v>
      </c>
      <c r="D92">
        <v>195</v>
      </c>
      <c r="E92" t="s">
        <v>150</v>
      </c>
      <c r="F92">
        <v>30</v>
      </c>
      <c r="G92">
        <v>33.299999999999997</v>
      </c>
      <c r="H92" t="s">
        <v>14</v>
      </c>
      <c r="I92">
        <v>30</v>
      </c>
    </row>
    <row r="93" spans="1:9" x14ac:dyDescent="0.35">
      <c r="A93" t="s">
        <v>158</v>
      </c>
      <c r="B93" t="s">
        <v>149</v>
      </c>
      <c r="C93" t="s">
        <v>20</v>
      </c>
      <c r="D93">
        <v>180</v>
      </c>
      <c r="E93" t="s">
        <v>150</v>
      </c>
      <c r="F93">
        <v>30</v>
      </c>
      <c r="G93">
        <v>36.700000000000003</v>
      </c>
      <c r="H93" t="s">
        <v>14</v>
      </c>
      <c r="I93">
        <v>30</v>
      </c>
    </row>
    <row r="94" spans="1:9" x14ac:dyDescent="0.35">
      <c r="A94" t="s">
        <v>159</v>
      </c>
      <c r="B94" t="s">
        <v>149</v>
      </c>
      <c r="C94" t="s">
        <v>20</v>
      </c>
      <c r="D94">
        <v>140</v>
      </c>
      <c r="E94" t="s">
        <v>150</v>
      </c>
      <c r="F94">
        <v>30</v>
      </c>
      <c r="G94">
        <v>50</v>
      </c>
      <c r="H94" t="s">
        <v>14</v>
      </c>
      <c r="I94">
        <v>30</v>
      </c>
    </row>
    <row r="95" spans="1:9" x14ac:dyDescent="0.35">
      <c r="A95" t="s">
        <v>160</v>
      </c>
      <c r="B95" t="s">
        <v>149</v>
      </c>
      <c r="C95" t="s">
        <v>20</v>
      </c>
      <c r="D95">
        <v>110</v>
      </c>
      <c r="E95" t="s">
        <v>150</v>
      </c>
      <c r="F95">
        <v>30</v>
      </c>
      <c r="G95">
        <v>66.7</v>
      </c>
      <c r="H95" t="s">
        <v>14</v>
      </c>
      <c r="I95">
        <v>30</v>
      </c>
    </row>
    <row r="96" spans="1:9" x14ac:dyDescent="0.35">
      <c r="A96" t="s">
        <v>161</v>
      </c>
      <c r="B96" t="s">
        <v>162</v>
      </c>
      <c r="C96" t="s">
        <v>20</v>
      </c>
      <c r="D96" t="s">
        <v>79</v>
      </c>
      <c r="E96" t="s">
        <v>47</v>
      </c>
      <c r="F96" t="s">
        <v>21</v>
      </c>
      <c r="G96">
        <v>6</v>
      </c>
      <c r="H96" t="s">
        <v>14</v>
      </c>
      <c r="I96" t="s">
        <v>21</v>
      </c>
    </row>
    <row r="97" spans="1:9" x14ac:dyDescent="0.35">
      <c r="A97" t="s">
        <v>163</v>
      </c>
      <c r="B97" t="s">
        <v>162</v>
      </c>
      <c r="C97" t="s">
        <v>20</v>
      </c>
      <c r="D97" t="s">
        <v>79</v>
      </c>
      <c r="E97" t="s">
        <v>47</v>
      </c>
      <c r="F97" t="s">
        <v>21</v>
      </c>
      <c r="G97">
        <v>13.3</v>
      </c>
      <c r="H97" t="s">
        <v>14</v>
      </c>
      <c r="I97" t="s">
        <v>21</v>
      </c>
    </row>
    <row r="98" spans="1:9" x14ac:dyDescent="0.35">
      <c r="A98" t="s">
        <v>164</v>
      </c>
      <c r="B98" t="s">
        <v>162</v>
      </c>
      <c r="C98" t="s">
        <v>20</v>
      </c>
      <c r="D98" t="s">
        <v>79</v>
      </c>
      <c r="E98" t="s">
        <v>47</v>
      </c>
      <c r="F98" t="s">
        <v>21</v>
      </c>
      <c r="G98">
        <v>16.7</v>
      </c>
      <c r="H98" t="s">
        <v>14</v>
      </c>
      <c r="I98" t="s">
        <v>21</v>
      </c>
    </row>
    <row r="99" spans="1:9" x14ac:dyDescent="0.35">
      <c r="A99" t="s">
        <v>165</v>
      </c>
      <c r="B99" t="s">
        <v>162</v>
      </c>
      <c r="C99" t="s">
        <v>20</v>
      </c>
      <c r="D99" t="s">
        <v>79</v>
      </c>
      <c r="E99" t="s">
        <v>47</v>
      </c>
      <c r="F99" t="s">
        <v>21</v>
      </c>
      <c r="G99">
        <v>26.7</v>
      </c>
      <c r="H99" t="s">
        <v>14</v>
      </c>
      <c r="I99" t="s">
        <v>21</v>
      </c>
    </row>
    <row r="100" spans="1:9" x14ac:dyDescent="0.35">
      <c r="A100" t="s">
        <v>166</v>
      </c>
      <c r="B100" t="s">
        <v>162</v>
      </c>
      <c r="C100" t="s">
        <v>20</v>
      </c>
      <c r="D100" t="s">
        <v>79</v>
      </c>
      <c r="E100" t="s">
        <v>47</v>
      </c>
      <c r="F100" t="s">
        <v>21</v>
      </c>
      <c r="G100">
        <v>40</v>
      </c>
      <c r="H100" t="s">
        <v>14</v>
      </c>
      <c r="I100" t="s">
        <v>21</v>
      </c>
    </row>
    <row r="101" spans="1:9" x14ac:dyDescent="0.35">
      <c r="A101" t="s">
        <v>167</v>
      </c>
      <c r="B101" t="s">
        <v>168</v>
      </c>
      <c r="C101" t="s">
        <v>26</v>
      </c>
      <c r="D101">
        <v>290</v>
      </c>
      <c r="E101" t="s">
        <v>44</v>
      </c>
      <c r="F101" t="s">
        <v>21</v>
      </c>
      <c r="H101" t="s">
        <v>14</v>
      </c>
      <c r="I101" t="s">
        <v>21</v>
      </c>
    </row>
    <row r="102" spans="1:9" x14ac:dyDescent="0.35">
      <c r="A102" t="s">
        <v>169</v>
      </c>
      <c r="B102" t="s">
        <v>168</v>
      </c>
      <c r="C102" t="s">
        <v>26</v>
      </c>
      <c r="D102">
        <v>110</v>
      </c>
      <c r="E102" t="s">
        <v>44</v>
      </c>
      <c r="F102" t="s">
        <v>21</v>
      </c>
      <c r="H102" t="s">
        <v>14</v>
      </c>
      <c r="I102" t="s">
        <v>21</v>
      </c>
    </row>
    <row r="103" spans="1:9" x14ac:dyDescent="0.35">
      <c r="A103" t="s">
        <v>170</v>
      </c>
      <c r="B103" t="s">
        <v>168</v>
      </c>
      <c r="C103" t="s">
        <v>26</v>
      </c>
      <c r="D103">
        <v>85</v>
      </c>
      <c r="E103" t="s">
        <v>44</v>
      </c>
      <c r="F103" t="s">
        <v>21</v>
      </c>
      <c r="H103" t="s">
        <v>14</v>
      </c>
      <c r="I103" t="s">
        <v>21</v>
      </c>
    </row>
    <row r="104" spans="1:9" x14ac:dyDescent="0.35">
      <c r="A104" t="s">
        <v>171</v>
      </c>
      <c r="B104" t="s">
        <v>168</v>
      </c>
      <c r="C104" t="s">
        <v>26</v>
      </c>
      <c r="D104">
        <v>60</v>
      </c>
      <c r="E104" t="s">
        <v>44</v>
      </c>
      <c r="F104" t="s">
        <v>21</v>
      </c>
      <c r="H104" t="s">
        <v>14</v>
      </c>
      <c r="I104" t="s">
        <v>21</v>
      </c>
    </row>
    <row r="105" spans="1:9" x14ac:dyDescent="0.35">
      <c r="A105" t="s">
        <v>172</v>
      </c>
      <c r="B105" t="s">
        <v>168</v>
      </c>
      <c r="C105" t="s">
        <v>26</v>
      </c>
      <c r="D105">
        <v>45</v>
      </c>
      <c r="E105" t="s">
        <v>44</v>
      </c>
      <c r="F105" t="s">
        <v>21</v>
      </c>
      <c r="H105" t="s">
        <v>14</v>
      </c>
      <c r="I105" t="s">
        <v>21</v>
      </c>
    </row>
    <row r="106" spans="1:9" x14ac:dyDescent="0.35">
      <c r="A106" t="s">
        <v>173</v>
      </c>
      <c r="B106" t="s">
        <v>174</v>
      </c>
      <c r="C106" t="s">
        <v>26</v>
      </c>
      <c r="D106" t="s">
        <v>79</v>
      </c>
      <c r="E106" t="s">
        <v>47</v>
      </c>
      <c r="F106" t="s">
        <v>21</v>
      </c>
      <c r="G106">
        <v>6</v>
      </c>
      <c r="H106" t="s">
        <v>14</v>
      </c>
      <c r="I106" t="s">
        <v>21</v>
      </c>
    </row>
    <row r="107" spans="1:9" x14ac:dyDescent="0.35">
      <c r="A107" t="s">
        <v>175</v>
      </c>
      <c r="B107" t="s">
        <v>174</v>
      </c>
      <c r="C107" t="s">
        <v>26</v>
      </c>
      <c r="D107" t="s">
        <v>79</v>
      </c>
      <c r="E107" t="s">
        <v>47</v>
      </c>
      <c r="F107" t="s">
        <v>21</v>
      </c>
      <c r="G107">
        <v>13.3</v>
      </c>
      <c r="H107" t="s">
        <v>14</v>
      </c>
      <c r="I107" t="s">
        <v>21</v>
      </c>
    </row>
    <row r="108" spans="1:9" x14ac:dyDescent="0.35">
      <c r="A108" t="s">
        <v>176</v>
      </c>
      <c r="B108" t="s">
        <v>174</v>
      </c>
      <c r="C108" t="s">
        <v>26</v>
      </c>
      <c r="D108" t="s">
        <v>79</v>
      </c>
      <c r="E108" t="s">
        <v>47</v>
      </c>
      <c r="F108" t="s">
        <v>21</v>
      </c>
      <c r="G108">
        <v>16.7</v>
      </c>
      <c r="H108" t="s">
        <v>14</v>
      </c>
      <c r="I108" t="s">
        <v>21</v>
      </c>
    </row>
    <row r="109" spans="1:9" x14ac:dyDescent="0.35">
      <c r="A109" t="s">
        <v>177</v>
      </c>
      <c r="B109" t="s">
        <v>174</v>
      </c>
      <c r="C109" t="s">
        <v>26</v>
      </c>
      <c r="D109" t="s">
        <v>79</v>
      </c>
      <c r="E109" t="s">
        <v>47</v>
      </c>
      <c r="F109" t="s">
        <v>21</v>
      </c>
      <c r="G109">
        <v>26.7</v>
      </c>
      <c r="H109" t="s">
        <v>14</v>
      </c>
      <c r="I109" t="s">
        <v>21</v>
      </c>
    </row>
    <row r="110" spans="1:9" x14ac:dyDescent="0.35">
      <c r="A110" t="s">
        <v>178</v>
      </c>
      <c r="B110" t="s">
        <v>174</v>
      </c>
      <c r="C110" t="s">
        <v>26</v>
      </c>
      <c r="D110" t="s">
        <v>79</v>
      </c>
      <c r="E110" t="s">
        <v>47</v>
      </c>
      <c r="F110" t="s">
        <v>21</v>
      </c>
      <c r="G110">
        <v>40</v>
      </c>
      <c r="H110" t="s">
        <v>14</v>
      </c>
      <c r="I110" t="s">
        <v>21</v>
      </c>
    </row>
    <row r="111" spans="1:9" x14ac:dyDescent="0.35">
      <c r="A111" t="s">
        <v>179</v>
      </c>
      <c r="B111" t="s">
        <v>180</v>
      </c>
      <c r="C111" t="s">
        <v>20</v>
      </c>
      <c r="D111">
        <v>0.3</v>
      </c>
      <c r="E111" t="s">
        <v>181</v>
      </c>
      <c r="F111" t="s">
        <v>96</v>
      </c>
      <c r="I111" t="s">
        <v>96</v>
      </c>
    </row>
    <row r="112" spans="1:9" x14ac:dyDescent="0.35">
      <c r="A112" t="s">
        <v>182</v>
      </c>
      <c r="B112" t="s">
        <v>183</v>
      </c>
      <c r="C112" t="s">
        <v>26</v>
      </c>
      <c r="D112">
        <v>0.15</v>
      </c>
      <c r="E112" t="s">
        <v>31</v>
      </c>
      <c r="F112" t="s">
        <v>96</v>
      </c>
      <c r="I112" t="s">
        <v>96</v>
      </c>
    </row>
    <row r="113" spans="1:9" x14ac:dyDescent="0.35">
      <c r="A113" t="s">
        <v>184</v>
      </c>
      <c r="B113" t="s">
        <v>183</v>
      </c>
      <c r="C113" t="s">
        <v>20</v>
      </c>
      <c r="D113">
        <v>0.3</v>
      </c>
      <c r="E113" t="s">
        <v>31</v>
      </c>
      <c r="F113" t="s">
        <v>96</v>
      </c>
      <c r="I113" t="s">
        <v>96</v>
      </c>
    </row>
    <row r="114" spans="1:9" x14ac:dyDescent="0.35">
      <c r="A114" t="s">
        <v>185</v>
      </c>
      <c r="B114" t="s">
        <v>183</v>
      </c>
      <c r="C114" t="s">
        <v>26</v>
      </c>
      <c r="D114">
        <v>0.15</v>
      </c>
      <c r="E114" t="s">
        <v>12</v>
      </c>
      <c r="F114" t="s">
        <v>96</v>
      </c>
      <c r="I114" t="s">
        <v>96</v>
      </c>
    </row>
    <row r="115" spans="1:9" x14ac:dyDescent="0.35">
      <c r="A115" t="s">
        <v>186</v>
      </c>
      <c r="B115" t="s">
        <v>183</v>
      </c>
      <c r="C115" t="s">
        <v>20</v>
      </c>
      <c r="D115">
        <v>0.3</v>
      </c>
      <c r="E115" t="s">
        <v>12</v>
      </c>
      <c r="F115" t="s">
        <v>96</v>
      </c>
      <c r="I115" t="s">
        <v>96</v>
      </c>
    </row>
    <row r="116" spans="1:9" x14ac:dyDescent="0.35">
      <c r="A116" t="s">
        <v>187</v>
      </c>
      <c r="B116" t="s">
        <v>188</v>
      </c>
      <c r="C116" t="s">
        <v>26</v>
      </c>
      <c r="D116">
        <v>9</v>
      </c>
      <c r="E116" t="s">
        <v>189</v>
      </c>
      <c r="F116">
        <v>30</v>
      </c>
      <c r="I116">
        <v>30</v>
      </c>
    </row>
    <row r="117" spans="1:9" x14ac:dyDescent="0.35">
      <c r="A117" t="s">
        <v>190</v>
      </c>
      <c r="B117" t="s">
        <v>190</v>
      </c>
      <c r="C117" t="s">
        <v>20</v>
      </c>
      <c r="D117">
        <v>30</v>
      </c>
      <c r="E117" t="s">
        <v>12</v>
      </c>
      <c r="F117">
        <v>30</v>
      </c>
      <c r="G117">
        <v>6</v>
      </c>
      <c r="H117" t="s">
        <v>10</v>
      </c>
      <c r="I117">
        <v>30</v>
      </c>
    </row>
    <row r="118" spans="1:9" x14ac:dyDescent="0.35">
      <c r="A118" t="s">
        <v>191</v>
      </c>
      <c r="B118" t="s">
        <v>191</v>
      </c>
      <c r="C118" t="s">
        <v>20</v>
      </c>
      <c r="D118">
        <v>0.2</v>
      </c>
      <c r="E118" t="s">
        <v>192</v>
      </c>
      <c r="F118">
        <v>12</v>
      </c>
      <c r="G118">
        <v>7.5</v>
      </c>
      <c r="H118" t="s">
        <v>10</v>
      </c>
      <c r="I118">
        <v>15</v>
      </c>
    </row>
    <row r="119" spans="1:9" x14ac:dyDescent="0.35">
      <c r="A119" t="s">
        <v>193</v>
      </c>
      <c r="B119" t="s">
        <v>193</v>
      </c>
      <c r="C119" t="s">
        <v>20</v>
      </c>
      <c r="D119">
        <v>25</v>
      </c>
      <c r="E119" t="s">
        <v>23</v>
      </c>
      <c r="F119" t="s">
        <v>21</v>
      </c>
      <c r="H119" t="s">
        <v>10</v>
      </c>
      <c r="I119" t="s">
        <v>21</v>
      </c>
    </row>
    <row r="120" spans="1:9" x14ac:dyDescent="0.35">
      <c r="A120" t="s">
        <v>194</v>
      </c>
      <c r="B120" t="s">
        <v>194</v>
      </c>
      <c r="C120" t="s">
        <v>26</v>
      </c>
      <c r="D120">
        <v>130</v>
      </c>
      <c r="E120" t="s">
        <v>195</v>
      </c>
      <c r="F120">
        <v>30</v>
      </c>
      <c r="G120">
        <v>3.4</v>
      </c>
      <c r="H120" t="s">
        <v>10</v>
      </c>
      <c r="I120">
        <v>30</v>
      </c>
    </row>
    <row r="121" spans="1:9" x14ac:dyDescent="0.35">
      <c r="A121" t="s">
        <v>196</v>
      </c>
      <c r="B121" t="s">
        <v>196</v>
      </c>
      <c r="C121" t="s">
        <v>20</v>
      </c>
      <c r="D121">
        <v>60</v>
      </c>
      <c r="E121" t="s">
        <v>12</v>
      </c>
      <c r="F121">
        <v>30</v>
      </c>
      <c r="G121">
        <v>23.1</v>
      </c>
      <c r="H121" t="s">
        <v>10</v>
      </c>
      <c r="I121">
        <v>30</v>
      </c>
    </row>
    <row r="122" spans="1:9" x14ac:dyDescent="0.35">
      <c r="A122" t="s">
        <v>197</v>
      </c>
      <c r="B122" t="s">
        <v>198</v>
      </c>
      <c r="C122" t="s">
        <v>20</v>
      </c>
      <c r="D122">
        <v>660</v>
      </c>
      <c r="E122" t="s">
        <v>195</v>
      </c>
      <c r="F122" t="s">
        <v>21</v>
      </c>
      <c r="G122">
        <v>6</v>
      </c>
      <c r="H122" t="s">
        <v>10</v>
      </c>
      <c r="I122" t="s">
        <v>21</v>
      </c>
    </row>
    <row r="123" spans="1:9" x14ac:dyDescent="0.35">
      <c r="A123" t="s">
        <v>199</v>
      </c>
      <c r="B123" t="s">
        <v>198</v>
      </c>
      <c r="C123" t="s">
        <v>20</v>
      </c>
      <c r="D123">
        <v>180</v>
      </c>
      <c r="E123" t="s">
        <v>195</v>
      </c>
      <c r="F123" t="s">
        <v>21</v>
      </c>
      <c r="G123">
        <v>16.7</v>
      </c>
      <c r="H123" t="s">
        <v>10</v>
      </c>
      <c r="I123" t="s">
        <v>21</v>
      </c>
    </row>
    <row r="124" spans="1:9" x14ac:dyDescent="0.35">
      <c r="A124" t="s">
        <v>200</v>
      </c>
      <c r="B124" t="s">
        <v>198</v>
      </c>
      <c r="C124" t="s">
        <v>20</v>
      </c>
      <c r="D124">
        <v>160</v>
      </c>
      <c r="E124" t="s">
        <v>195</v>
      </c>
      <c r="F124" t="s">
        <v>21</v>
      </c>
      <c r="G124">
        <v>23</v>
      </c>
      <c r="H124" t="s">
        <v>10</v>
      </c>
      <c r="I124" t="s">
        <v>21</v>
      </c>
    </row>
    <row r="125" spans="1:9" x14ac:dyDescent="0.35">
      <c r="A125" t="s">
        <v>201</v>
      </c>
      <c r="B125" t="s">
        <v>201</v>
      </c>
      <c r="C125" t="s">
        <v>26</v>
      </c>
      <c r="D125">
        <v>7</v>
      </c>
      <c r="E125" t="s">
        <v>12</v>
      </c>
      <c r="F125">
        <v>30</v>
      </c>
      <c r="G125">
        <v>5.2</v>
      </c>
      <c r="H125" t="s">
        <v>10</v>
      </c>
      <c r="I125">
        <v>30</v>
      </c>
    </row>
    <row r="126" spans="1:9" x14ac:dyDescent="0.35">
      <c r="A126" t="s">
        <v>202</v>
      </c>
      <c r="B126" t="s">
        <v>202</v>
      </c>
      <c r="C126" t="s">
        <v>26</v>
      </c>
      <c r="D126">
        <v>7</v>
      </c>
      <c r="E126" t="s">
        <v>31</v>
      </c>
      <c r="F126">
        <v>30</v>
      </c>
      <c r="G126">
        <v>5.3</v>
      </c>
      <c r="H126" t="s">
        <v>10</v>
      </c>
      <c r="I126">
        <v>30</v>
      </c>
    </row>
    <row r="127" spans="1:9" x14ac:dyDescent="0.35">
      <c r="A127" t="s">
        <v>203</v>
      </c>
      <c r="B127" t="s">
        <v>203</v>
      </c>
      <c r="C127" t="s">
        <v>26</v>
      </c>
      <c r="D127">
        <v>26</v>
      </c>
      <c r="E127" t="s">
        <v>12</v>
      </c>
      <c r="F127" t="s">
        <v>21</v>
      </c>
      <c r="G127">
        <v>5.2</v>
      </c>
      <c r="H127" t="s">
        <v>10</v>
      </c>
      <c r="I127" t="s">
        <v>21</v>
      </c>
    </row>
    <row r="128" spans="1:9" x14ac:dyDescent="0.35">
      <c r="A128" t="s">
        <v>204</v>
      </c>
      <c r="B128" t="s">
        <v>204</v>
      </c>
      <c r="C128" t="s">
        <v>20</v>
      </c>
      <c r="D128">
        <v>620</v>
      </c>
      <c r="E128" t="s">
        <v>205</v>
      </c>
      <c r="F128">
        <v>30</v>
      </c>
      <c r="G128">
        <v>30.5</v>
      </c>
      <c r="H128" t="s">
        <v>10</v>
      </c>
      <c r="I128">
        <v>30</v>
      </c>
    </row>
    <row r="129" spans="1:9" x14ac:dyDescent="0.35">
      <c r="A129" t="s">
        <v>206</v>
      </c>
      <c r="B129" t="s">
        <v>206</v>
      </c>
      <c r="C129" t="s">
        <v>20</v>
      </c>
      <c r="D129">
        <v>500</v>
      </c>
      <c r="E129" t="s">
        <v>205</v>
      </c>
      <c r="F129">
        <v>30</v>
      </c>
      <c r="G129">
        <v>40</v>
      </c>
      <c r="H129" t="s">
        <v>10</v>
      </c>
      <c r="I129">
        <v>30</v>
      </c>
    </row>
    <row r="130" spans="1:9" x14ac:dyDescent="0.35">
      <c r="A130" t="s">
        <v>207</v>
      </c>
      <c r="B130" t="s">
        <v>207</v>
      </c>
      <c r="C130" t="s">
        <v>20</v>
      </c>
      <c r="D130">
        <v>400</v>
      </c>
      <c r="F130">
        <v>30</v>
      </c>
      <c r="G130">
        <v>51</v>
      </c>
      <c r="H130" t="s">
        <v>10</v>
      </c>
      <c r="I130">
        <v>30</v>
      </c>
    </row>
    <row r="131" spans="1:9" x14ac:dyDescent="0.35">
      <c r="A131" t="s">
        <v>208</v>
      </c>
      <c r="B131" t="s">
        <v>208</v>
      </c>
      <c r="C131" t="s">
        <v>26</v>
      </c>
      <c r="D131">
        <v>8</v>
      </c>
      <c r="E131" t="s">
        <v>12</v>
      </c>
      <c r="F131" t="s">
        <v>21</v>
      </c>
      <c r="I131" t="s">
        <v>21</v>
      </c>
    </row>
    <row r="132" spans="1:9" x14ac:dyDescent="0.35">
      <c r="A132" t="s">
        <v>209</v>
      </c>
      <c r="B132" t="s">
        <v>209</v>
      </c>
      <c r="C132" t="s">
        <v>26</v>
      </c>
      <c r="D132">
        <v>25</v>
      </c>
      <c r="E132" t="s">
        <v>47</v>
      </c>
      <c r="F132" t="s">
        <v>38</v>
      </c>
      <c r="G132">
        <v>4.5</v>
      </c>
      <c r="H132" t="s">
        <v>10</v>
      </c>
      <c r="I132" t="s">
        <v>38</v>
      </c>
    </row>
    <row r="133" spans="1:9" x14ac:dyDescent="0.35">
      <c r="A133" t="s">
        <v>210</v>
      </c>
      <c r="B133" t="s">
        <v>210</v>
      </c>
      <c r="C133" t="s">
        <v>26</v>
      </c>
      <c r="D133">
        <v>25</v>
      </c>
      <c r="E133" t="s">
        <v>23</v>
      </c>
      <c r="F133" t="s">
        <v>38</v>
      </c>
      <c r="G133">
        <v>4.5</v>
      </c>
      <c r="H133" t="s">
        <v>10</v>
      </c>
      <c r="I133" t="s">
        <v>38</v>
      </c>
    </row>
    <row r="134" spans="1:9" x14ac:dyDescent="0.35">
      <c r="A134" t="s">
        <v>211</v>
      </c>
      <c r="B134" t="s">
        <v>211</v>
      </c>
      <c r="C134" t="s">
        <v>20</v>
      </c>
      <c r="D134">
        <v>210</v>
      </c>
      <c r="E134" t="s">
        <v>212</v>
      </c>
      <c r="F134" t="s">
        <v>21</v>
      </c>
      <c r="H134" t="s">
        <v>10</v>
      </c>
      <c r="I134" t="s">
        <v>21</v>
      </c>
    </row>
    <row r="135" spans="1:9" x14ac:dyDescent="0.35">
      <c r="A135" t="s">
        <v>213</v>
      </c>
      <c r="B135" t="s">
        <v>213</v>
      </c>
      <c r="C135" t="s">
        <v>20</v>
      </c>
      <c r="D135">
        <v>620</v>
      </c>
      <c r="E135" t="s">
        <v>212</v>
      </c>
      <c r="F135">
        <v>30</v>
      </c>
      <c r="G135">
        <v>30.5</v>
      </c>
      <c r="H135" t="s">
        <v>10</v>
      </c>
      <c r="I135">
        <v>30</v>
      </c>
    </row>
    <row r="136" spans="1:9" x14ac:dyDescent="0.35">
      <c r="A136" t="s">
        <v>214</v>
      </c>
      <c r="B136" t="s">
        <v>214</v>
      </c>
      <c r="C136" t="s">
        <v>20</v>
      </c>
      <c r="D136">
        <v>2</v>
      </c>
      <c r="E136" t="s">
        <v>145</v>
      </c>
      <c r="F136" t="s">
        <v>38</v>
      </c>
      <c r="G136">
        <v>7</v>
      </c>
      <c r="H136" t="s">
        <v>10</v>
      </c>
      <c r="I136" t="s">
        <v>38</v>
      </c>
    </row>
    <row r="137" spans="1:9" x14ac:dyDescent="0.35">
      <c r="A137" t="s">
        <v>215</v>
      </c>
      <c r="B137" t="s">
        <v>215</v>
      </c>
      <c r="C137" t="s">
        <v>20</v>
      </c>
      <c r="D137">
        <v>0.4</v>
      </c>
      <c r="E137" t="s">
        <v>181</v>
      </c>
      <c r="F137">
        <v>15</v>
      </c>
      <c r="G137">
        <v>6.5</v>
      </c>
      <c r="H137" t="s">
        <v>10</v>
      </c>
      <c r="I137">
        <v>20</v>
      </c>
    </row>
    <row r="138" spans="1:9" x14ac:dyDescent="0.35">
      <c r="A138" t="s">
        <v>216</v>
      </c>
      <c r="B138" t="s">
        <v>216</v>
      </c>
      <c r="C138" t="s">
        <v>20</v>
      </c>
      <c r="D138">
        <v>1</v>
      </c>
      <c r="E138" t="s">
        <v>23</v>
      </c>
      <c r="F138" t="s">
        <v>96</v>
      </c>
      <c r="H138" t="s">
        <v>10</v>
      </c>
      <c r="I138" t="s">
        <v>96</v>
      </c>
    </row>
    <row r="139" spans="1:9" x14ac:dyDescent="0.35">
      <c r="A139" t="s">
        <v>217</v>
      </c>
      <c r="B139" t="s">
        <v>217</v>
      </c>
      <c r="C139" t="s">
        <v>20</v>
      </c>
      <c r="D139">
        <v>45</v>
      </c>
      <c r="E139" t="s">
        <v>205</v>
      </c>
      <c r="F139">
        <v>30</v>
      </c>
      <c r="G139">
        <v>4.5</v>
      </c>
      <c r="H139" t="s">
        <v>10</v>
      </c>
      <c r="I139">
        <v>30</v>
      </c>
    </row>
    <row r="140" spans="1:9" x14ac:dyDescent="0.35">
      <c r="A140" t="s">
        <v>218</v>
      </c>
      <c r="B140" t="s">
        <v>218</v>
      </c>
      <c r="C140" t="s">
        <v>26</v>
      </c>
      <c r="D140">
        <v>0.55000000000000004</v>
      </c>
      <c r="E140" t="s">
        <v>12</v>
      </c>
      <c r="F140">
        <v>30</v>
      </c>
      <c r="G140">
        <v>5.5</v>
      </c>
      <c r="H140" t="s">
        <v>10</v>
      </c>
      <c r="I140">
        <v>30</v>
      </c>
    </row>
    <row r="141" spans="1:9" x14ac:dyDescent="0.35">
      <c r="A141" t="s">
        <v>219</v>
      </c>
      <c r="B141" t="s">
        <v>219</v>
      </c>
      <c r="C141" t="s">
        <v>20</v>
      </c>
      <c r="D141">
        <v>30</v>
      </c>
      <c r="E141" t="s">
        <v>205</v>
      </c>
      <c r="F141">
        <v>30</v>
      </c>
      <c r="G141">
        <v>9.5</v>
      </c>
      <c r="H141" t="s">
        <v>10</v>
      </c>
      <c r="I141">
        <v>30</v>
      </c>
    </row>
    <row r="142" spans="1:9" x14ac:dyDescent="0.35">
      <c r="A142" t="s">
        <v>220</v>
      </c>
      <c r="B142" t="s">
        <v>220</v>
      </c>
      <c r="C142" t="s">
        <v>26</v>
      </c>
      <c r="D142">
        <v>75</v>
      </c>
      <c r="E142" t="s">
        <v>44</v>
      </c>
      <c r="F142">
        <v>30</v>
      </c>
      <c r="G142">
        <v>9</v>
      </c>
      <c r="H142" t="s">
        <v>10</v>
      </c>
      <c r="I142">
        <v>30</v>
      </c>
    </row>
    <row r="143" spans="1:9" x14ac:dyDescent="0.35">
      <c r="A143" t="s">
        <v>221</v>
      </c>
      <c r="B143" t="s">
        <v>221</v>
      </c>
      <c r="C143" t="s">
        <v>20</v>
      </c>
      <c r="D143">
        <v>0.32</v>
      </c>
      <c r="E143" t="s">
        <v>121</v>
      </c>
      <c r="F143">
        <v>12</v>
      </c>
      <c r="G143">
        <v>6.5</v>
      </c>
      <c r="H143" t="s">
        <v>10</v>
      </c>
      <c r="I143">
        <v>15</v>
      </c>
    </row>
    <row r="144" spans="1:9" x14ac:dyDescent="0.35">
      <c r="A144" t="s">
        <v>222</v>
      </c>
      <c r="B144" t="s">
        <v>222</v>
      </c>
      <c r="C144" t="s">
        <v>20</v>
      </c>
      <c r="D144">
        <v>0.3</v>
      </c>
      <c r="E144" t="s">
        <v>121</v>
      </c>
      <c r="F144">
        <f>30/-22</f>
        <v>-1.3636363636363635</v>
      </c>
      <c r="H144" t="s">
        <v>10</v>
      </c>
      <c r="I144" t="s">
        <v>87</v>
      </c>
    </row>
    <row r="145" spans="1:9" x14ac:dyDescent="0.35">
      <c r="A145" t="s">
        <v>223</v>
      </c>
      <c r="B145" t="s">
        <v>224</v>
      </c>
      <c r="C145" t="s">
        <v>20</v>
      </c>
      <c r="E145" t="s">
        <v>12</v>
      </c>
      <c r="F145">
        <v>30</v>
      </c>
      <c r="G145">
        <v>13.3</v>
      </c>
      <c r="H145" t="s">
        <v>10</v>
      </c>
      <c r="I145">
        <v>30</v>
      </c>
    </row>
    <row r="146" spans="1:9" x14ac:dyDescent="0.35">
      <c r="A146" t="s">
        <v>225</v>
      </c>
      <c r="B146" t="s">
        <v>224</v>
      </c>
      <c r="C146" t="s">
        <v>20</v>
      </c>
      <c r="E146" t="s">
        <v>12</v>
      </c>
      <c r="F146">
        <v>30</v>
      </c>
      <c r="G146">
        <v>16.7</v>
      </c>
      <c r="H146" t="s">
        <v>10</v>
      </c>
      <c r="I146">
        <v>30</v>
      </c>
    </row>
    <row r="147" spans="1:9" x14ac:dyDescent="0.35">
      <c r="A147" t="s">
        <v>226</v>
      </c>
      <c r="B147" t="s">
        <v>224</v>
      </c>
      <c r="C147" t="s">
        <v>20</v>
      </c>
      <c r="E147" t="s">
        <v>12</v>
      </c>
      <c r="F147">
        <v>30</v>
      </c>
      <c r="G147">
        <v>26.7</v>
      </c>
      <c r="H147" t="s">
        <v>10</v>
      </c>
      <c r="I147">
        <v>30</v>
      </c>
    </row>
    <row r="148" spans="1:9" x14ac:dyDescent="0.35">
      <c r="A148" t="s">
        <v>227</v>
      </c>
      <c r="B148" t="s">
        <v>224</v>
      </c>
      <c r="C148" t="s">
        <v>20</v>
      </c>
      <c r="E148" t="s">
        <v>12</v>
      </c>
      <c r="F148">
        <v>18</v>
      </c>
      <c r="G148">
        <v>40</v>
      </c>
      <c r="H148" t="s">
        <v>10</v>
      </c>
      <c r="I148">
        <v>25</v>
      </c>
    </row>
    <row r="149" spans="1:9" x14ac:dyDescent="0.35">
      <c r="A149" t="s">
        <v>228</v>
      </c>
      <c r="B149" t="s">
        <v>229</v>
      </c>
      <c r="C149" t="s">
        <v>26</v>
      </c>
      <c r="E149" t="s">
        <v>12</v>
      </c>
      <c r="F149">
        <v>30</v>
      </c>
      <c r="G149">
        <v>13.3</v>
      </c>
      <c r="H149" t="s">
        <v>10</v>
      </c>
      <c r="I149">
        <v>30</v>
      </c>
    </row>
    <row r="150" spans="1:9" x14ac:dyDescent="0.35">
      <c r="A150" t="s">
        <v>230</v>
      </c>
      <c r="B150" t="s">
        <v>229</v>
      </c>
      <c r="C150" t="s">
        <v>26</v>
      </c>
      <c r="E150" t="s">
        <v>12</v>
      </c>
      <c r="F150">
        <v>30</v>
      </c>
      <c r="G150">
        <v>16.7</v>
      </c>
      <c r="H150" t="s">
        <v>10</v>
      </c>
      <c r="I150">
        <v>30</v>
      </c>
    </row>
    <row r="151" spans="1:9" x14ac:dyDescent="0.35">
      <c r="A151" t="s">
        <v>231</v>
      </c>
      <c r="B151" t="s">
        <v>229</v>
      </c>
      <c r="C151" t="s">
        <v>26</v>
      </c>
      <c r="E151" t="s">
        <v>12</v>
      </c>
      <c r="F151">
        <v>30</v>
      </c>
      <c r="G151">
        <v>26.7</v>
      </c>
      <c r="H151" t="s">
        <v>10</v>
      </c>
      <c r="I151">
        <v>30</v>
      </c>
    </row>
    <row r="152" spans="1:9" x14ac:dyDescent="0.35">
      <c r="A152" t="s">
        <v>232</v>
      </c>
      <c r="B152" t="s">
        <v>229</v>
      </c>
      <c r="C152" t="s">
        <v>26</v>
      </c>
      <c r="D152">
        <v>60</v>
      </c>
      <c r="E152" t="s">
        <v>12</v>
      </c>
      <c r="F152">
        <v>18</v>
      </c>
      <c r="G152">
        <v>40</v>
      </c>
      <c r="H152" t="s">
        <v>10</v>
      </c>
      <c r="I152">
        <v>25</v>
      </c>
    </row>
    <row r="153" spans="1:9" x14ac:dyDescent="0.35">
      <c r="A153" t="s">
        <v>233</v>
      </c>
      <c r="B153" t="s">
        <v>234</v>
      </c>
      <c r="C153" t="s">
        <v>20</v>
      </c>
      <c r="D153" t="s">
        <v>79</v>
      </c>
      <c r="E153" t="s">
        <v>47</v>
      </c>
      <c r="F153" t="s">
        <v>21</v>
      </c>
      <c r="G153">
        <v>6</v>
      </c>
      <c r="H153" t="s">
        <v>14</v>
      </c>
      <c r="I153" t="s">
        <v>21</v>
      </c>
    </row>
    <row r="154" spans="1:9" x14ac:dyDescent="0.35">
      <c r="A154" t="s">
        <v>235</v>
      </c>
      <c r="B154" t="s">
        <v>234</v>
      </c>
      <c r="C154" t="s">
        <v>20</v>
      </c>
      <c r="D154" t="s">
        <v>79</v>
      </c>
      <c r="E154" t="s">
        <v>47</v>
      </c>
      <c r="F154" t="s">
        <v>21</v>
      </c>
      <c r="G154">
        <v>13.3</v>
      </c>
      <c r="H154" t="s">
        <v>14</v>
      </c>
      <c r="I154" t="s">
        <v>21</v>
      </c>
    </row>
    <row r="155" spans="1:9" x14ac:dyDescent="0.35">
      <c r="A155" t="s">
        <v>236</v>
      </c>
      <c r="B155" t="s">
        <v>234</v>
      </c>
      <c r="C155" t="s">
        <v>20</v>
      </c>
      <c r="D155" t="s">
        <v>79</v>
      </c>
      <c r="E155" t="s">
        <v>47</v>
      </c>
      <c r="F155">
        <v>30</v>
      </c>
      <c r="G155">
        <v>16.7</v>
      </c>
      <c r="H155" t="s">
        <v>14</v>
      </c>
      <c r="I155">
        <v>30</v>
      </c>
    </row>
    <row r="156" spans="1:9" x14ac:dyDescent="0.35">
      <c r="A156" t="s">
        <v>237</v>
      </c>
      <c r="B156" t="s">
        <v>234</v>
      </c>
      <c r="C156" t="s">
        <v>20</v>
      </c>
      <c r="D156" t="s">
        <v>79</v>
      </c>
      <c r="E156" t="s">
        <v>47</v>
      </c>
      <c r="F156" t="s">
        <v>21</v>
      </c>
      <c r="G156">
        <v>26.7</v>
      </c>
      <c r="H156" t="s">
        <v>14</v>
      </c>
      <c r="I156" t="s">
        <v>21</v>
      </c>
    </row>
    <row r="157" spans="1:9" x14ac:dyDescent="0.35">
      <c r="A157" t="s">
        <v>238</v>
      </c>
      <c r="B157" t="s">
        <v>234</v>
      </c>
      <c r="C157" t="s">
        <v>20</v>
      </c>
      <c r="D157" t="s">
        <v>79</v>
      </c>
      <c r="E157" t="s">
        <v>47</v>
      </c>
      <c r="F157">
        <v>30</v>
      </c>
      <c r="G157">
        <v>40</v>
      </c>
      <c r="H157" t="s">
        <v>14</v>
      </c>
      <c r="I157">
        <v>30</v>
      </c>
    </row>
    <row r="158" spans="1:9" x14ac:dyDescent="0.35">
      <c r="A158" t="s">
        <v>239</v>
      </c>
      <c r="B158" t="s">
        <v>240</v>
      </c>
      <c r="C158" t="s">
        <v>20</v>
      </c>
      <c r="D158">
        <v>160</v>
      </c>
      <c r="E158" t="s">
        <v>47</v>
      </c>
      <c r="F158" t="s">
        <v>21</v>
      </c>
      <c r="G158">
        <v>23</v>
      </c>
      <c r="H158" t="s">
        <v>10</v>
      </c>
      <c r="I158" t="s">
        <v>21</v>
      </c>
    </row>
    <row r="159" spans="1:9" x14ac:dyDescent="0.35">
      <c r="A159" t="s">
        <v>241</v>
      </c>
      <c r="B159" t="s">
        <v>242</v>
      </c>
      <c r="C159" t="s">
        <v>26</v>
      </c>
      <c r="E159" t="s">
        <v>47</v>
      </c>
      <c r="F159">
        <v>30</v>
      </c>
      <c r="G159">
        <v>6</v>
      </c>
      <c r="H159" t="s">
        <v>14</v>
      </c>
      <c r="I159">
        <v>30</v>
      </c>
    </row>
    <row r="160" spans="1:9" x14ac:dyDescent="0.35">
      <c r="A160" t="s">
        <v>243</v>
      </c>
      <c r="B160" t="s">
        <v>242</v>
      </c>
      <c r="C160" t="s">
        <v>26</v>
      </c>
      <c r="E160" t="s">
        <v>47</v>
      </c>
      <c r="F160">
        <v>30</v>
      </c>
      <c r="G160">
        <v>13.3</v>
      </c>
      <c r="H160" t="s">
        <v>14</v>
      </c>
      <c r="I160">
        <v>30</v>
      </c>
    </row>
    <row r="161" spans="1:9" x14ac:dyDescent="0.35">
      <c r="A161" t="s">
        <v>244</v>
      </c>
      <c r="B161" t="s">
        <v>242</v>
      </c>
      <c r="C161" t="s">
        <v>26</v>
      </c>
      <c r="E161" t="s">
        <v>47</v>
      </c>
      <c r="F161">
        <v>30</v>
      </c>
      <c r="G161">
        <v>16.7</v>
      </c>
      <c r="H161" t="s">
        <v>14</v>
      </c>
      <c r="I161">
        <v>30</v>
      </c>
    </row>
    <row r="162" spans="1:9" x14ac:dyDescent="0.35">
      <c r="A162" t="s">
        <v>245</v>
      </c>
      <c r="B162" t="s">
        <v>242</v>
      </c>
      <c r="C162" t="s">
        <v>26</v>
      </c>
      <c r="D162" t="s">
        <v>79</v>
      </c>
      <c r="E162" t="s">
        <v>47</v>
      </c>
      <c r="F162" t="s">
        <v>21</v>
      </c>
      <c r="G162">
        <v>26.7</v>
      </c>
      <c r="H162" t="s">
        <v>14</v>
      </c>
      <c r="I162" t="s">
        <v>21</v>
      </c>
    </row>
    <row r="163" spans="1:9" x14ac:dyDescent="0.35">
      <c r="A163" t="s">
        <v>246</v>
      </c>
      <c r="B163" t="s">
        <v>242</v>
      </c>
      <c r="C163" t="s">
        <v>26</v>
      </c>
      <c r="E163" t="s">
        <v>47</v>
      </c>
      <c r="F163">
        <v>30</v>
      </c>
      <c r="G163">
        <v>40</v>
      </c>
      <c r="H163" t="s">
        <v>14</v>
      </c>
      <c r="I163">
        <v>30</v>
      </c>
    </row>
    <row r="164" spans="1:9" x14ac:dyDescent="0.35">
      <c r="A164" t="s">
        <v>247</v>
      </c>
      <c r="B164" t="s">
        <v>247</v>
      </c>
      <c r="C164" t="s">
        <v>20</v>
      </c>
      <c r="D164">
        <v>230</v>
      </c>
      <c r="E164" t="s">
        <v>47</v>
      </c>
      <c r="F164" t="s">
        <v>21</v>
      </c>
      <c r="G164">
        <v>6</v>
      </c>
      <c r="H164" t="s">
        <v>10</v>
      </c>
      <c r="I164" t="s">
        <v>21</v>
      </c>
    </row>
    <row r="165" spans="1:9" x14ac:dyDescent="0.35">
      <c r="A165" t="s">
        <v>248</v>
      </c>
      <c r="B165" t="s">
        <v>248</v>
      </c>
      <c r="C165" t="s">
        <v>26</v>
      </c>
      <c r="D165">
        <v>115</v>
      </c>
      <c r="E165" t="s">
        <v>47</v>
      </c>
      <c r="F165" t="s">
        <v>21</v>
      </c>
      <c r="G165">
        <v>6</v>
      </c>
      <c r="H165" t="s">
        <v>10</v>
      </c>
      <c r="I165" t="s">
        <v>21</v>
      </c>
    </row>
    <row r="166" spans="1:9" x14ac:dyDescent="0.35">
      <c r="A166" t="s">
        <v>249</v>
      </c>
      <c r="B166" t="s">
        <v>250</v>
      </c>
      <c r="C166" t="s">
        <v>20</v>
      </c>
      <c r="D166">
        <v>0.3</v>
      </c>
      <c r="F166" t="s">
        <v>96</v>
      </c>
      <c r="H166" t="s">
        <v>14</v>
      </c>
      <c r="I166" t="s">
        <v>96</v>
      </c>
    </row>
    <row r="167" spans="1:9" x14ac:dyDescent="0.35">
      <c r="A167" t="s">
        <v>251</v>
      </c>
      <c r="B167" t="s">
        <v>252</v>
      </c>
      <c r="C167" t="s">
        <v>26</v>
      </c>
      <c r="D167">
        <v>0.15</v>
      </c>
      <c r="F167" t="s">
        <v>96</v>
      </c>
      <c r="H167" t="s">
        <v>14</v>
      </c>
      <c r="I167" t="s">
        <v>96</v>
      </c>
    </row>
    <row r="168" spans="1:9" x14ac:dyDescent="0.35">
      <c r="A168" t="s">
        <v>253</v>
      </c>
      <c r="B168" t="s">
        <v>252</v>
      </c>
      <c r="C168" t="s">
        <v>20</v>
      </c>
      <c r="D168">
        <v>0.3</v>
      </c>
      <c r="F168" t="s">
        <v>96</v>
      </c>
      <c r="H168" t="s">
        <v>14</v>
      </c>
      <c r="I168" t="s">
        <v>96</v>
      </c>
    </row>
    <row r="169" spans="1:9" x14ac:dyDescent="0.35">
      <c r="A169" t="s">
        <v>254</v>
      </c>
      <c r="B169" t="s">
        <v>255</v>
      </c>
      <c r="C169" t="s">
        <v>20</v>
      </c>
      <c r="D169">
        <v>0.2</v>
      </c>
      <c r="F169" t="s">
        <v>73</v>
      </c>
      <c r="H169" t="s">
        <v>14</v>
      </c>
      <c r="I169" t="s">
        <v>73</v>
      </c>
    </row>
    <row r="170" spans="1:9" x14ac:dyDescent="0.35">
      <c r="A170" t="s">
        <v>256</v>
      </c>
      <c r="B170" t="s">
        <v>255</v>
      </c>
      <c r="C170" t="s">
        <v>20</v>
      </c>
      <c r="D170">
        <v>0.2</v>
      </c>
      <c r="F170" t="s">
        <v>73</v>
      </c>
      <c r="H170" t="s">
        <v>14</v>
      </c>
      <c r="I170" t="s">
        <v>73</v>
      </c>
    </row>
    <row r="171" spans="1:9" x14ac:dyDescent="0.35">
      <c r="A171" t="s">
        <v>257</v>
      </c>
      <c r="B171" t="s">
        <v>258</v>
      </c>
      <c r="C171" t="s">
        <v>26</v>
      </c>
      <c r="D171">
        <v>0.1</v>
      </c>
      <c r="F171" t="s">
        <v>73</v>
      </c>
      <c r="H171" t="s">
        <v>14</v>
      </c>
      <c r="I171" t="s">
        <v>73</v>
      </c>
    </row>
    <row r="172" spans="1:9" x14ac:dyDescent="0.35">
      <c r="A172" t="s">
        <v>259</v>
      </c>
      <c r="B172" t="s">
        <v>258</v>
      </c>
      <c r="C172" t="s">
        <v>20</v>
      </c>
      <c r="D172">
        <v>0.2</v>
      </c>
      <c r="F172" t="s">
        <v>73</v>
      </c>
      <c r="H172" t="s">
        <v>14</v>
      </c>
      <c r="I172" t="s">
        <v>73</v>
      </c>
    </row>
    <row r="173" spans="1:9" x14ac:dyDescent="0.35">
      <c r="A173" t="s">
        <v>260</v>
      </c>
      <c r="B173" t="s">
        <v>258</v>
      </c>
      <c r="C173" t="s">
        <v>26</v>
      </c>
      <c r="D173">
        <v>0.1</v>
      </c>
      <c r="F173" t="s">
        <v>73</v>
      </c>
      <c r="H173" t="s">
        <v>14</v>
      </c>
      <c r="I173" t="s">
        <v>73</v>
      </c>
    </row>
    <row r="174" spans="1:9" x14ac:dyDescent="0.35">
      <c r="A174" t="s">
        <v>261</v>
      </c>
      <c r="B174" t="s">
        <v>258</v>
      </c>
      <c r="C174" t="s">
        <v>20</v>
      </c>
      <c r="D174">
        <v>0.2</v>
      </c>
      <c r="E174" t="s">
        <v>337</v>
      </c>
      <c r="F174" t="s">
        <v>73</v>
      </c>
      <c r="H174" t="s">
        <v>14</v>
      </c>
      <c r="I174" t="s">
        <v>73</v>
      </c>
    </row>
    <row r="175" spans="1:9" x14ac:dyDescent="0.35">
      <c r="A175" t="s">
        <v>262</v>
      </c>
      <c r="B175" t="s">
        <v>263</v>
      </c>
      <c r="C175" t="s">
        <v>20</v>
      </c>
      <c r="D175">
        <v>2</v>
      </c>
      <c r="E175" t="s">
        <v>44</v>
      </c>
      <c r="F175">
        <v>30</v>
      </c>
      <c r="I175">
        <v>30</v>
      </c>
    </row>
    <row r="176" spans="1:9" x14ac:dyDescent="0.35">
      <c r="A176" t="s">
        <v>264</v>
      </c>
      <c r="B176" t="s">
        <v>265</v>
      </c>
      <c r="C176" t="s">
        <v>20</v>
      </c>
      <c r="D176">
        <v>2</v>
      </c>
      <c r="E176" t="s">
        <v>189</v>
      </c>
      <c r="F176">
        <v>30</v>
      </c>
      <c r="I176">
        <v>30</v>
      </c>
    </row>
    <row r="177" spans="1:9" x14ac:dyDescent="0.35">
      <c r="A177" t="s">
        <v>266</v>
      </c>
      <c r="B177" t="s">
        <v>266</v>
      </c>
      <c r="C177" t="s">
        <v>20</v>
      </c>
      <c r="E177" t="s">
        <v>189</v>
      </c>
      <c r="F177" t="s">
        <v>21</v>
      </c>
      <c r="G177">
        <v>3</v>
      </c>
      <c r="I177" t="s">
        <v>21</v>
      </c>
    </row>
    <row r="178" spans="1:9" x14ac:dyDescent="0.35">
      <c r="A178" t="s">
        <v>267</v>
      </c>
      <c r="B178" t="s">
        <v>268</v>
      </c>
      <c r="C178" t="s">
        <v>26</v>
      </c>
      <c r="D178">
        <v>2.6</v>
      </c>
      <c r="E178" t="s">
        <v>189</v>
      </c>
      <c r="F178" t="s">
        <v>21</v>
      </c>
      <c r="G178">
        <v>3</v>
      </c>
      <c r="H178" t="s">
        <v>14</v>
      </c>
      <c r="I178" t="s">
        <v>21</v>
      </c>
    </row>
    <row r="179" spans="1:9" x14ac:dyDescent="0.35">
      <c r="A179" t="s">
        <v>269</v>
      </c>
      <c r="B179" t="s">
        <v>270</v>
      </c>
      <c r="C179" t="s">
        <v>26</v>
      </c>
      <c r="E179" t="s">
        <v>44</v>
      </c>
      <c r="F179">
        <v>30</v>
      </c>
      <c r="G179">
        <v>6</v>
      </c>
      <c r="H179" t="s">
        <v>14</v>
      </c>
      <c r="I179">
        <v>30</v>
      </c>
    </row>
    <row r="180" spans="1:9" x14ac:dyDescent="0.35">
      <c r="A180" t="s">
        <v>271</v>
      </c>
      <c r="B180" t="s">
        <v>270</v>
      </c>
      <c r="C180" t="s">
        <v>26</v>
      </c>
      <c r="E180" t="s">
        <v>44</v>
      </c>
      <c r="F180">
        <v>30</v>
      </c>
      <c r="G180">
        <v>13.3</v>
      </c>
      <c r="H180" t="s">
        <v>14</v>
      </c>
      <c r="I180">
        <v>30</v>
      </c>
    </row>
    <row r="181" spans="1:9" x14ac:dyDescent="0.35">
      <c r="A181" t="s">
        <v>272</v>
      </c>
      <c r="B181" t="s">
        <v>270</v>
      </c>
      <c r="C181" t="s">
        <v>26</v>
      </c>
      <c r="E181" t="s">
        <v>44</v>
      </c>
      <c r="F181">
        <v>30</v>
      </c>
      <c r="G181">
        <v>16.7</v>
      </c>
      <c r="H181" t="s">
        <v>14</v>
      </c>
      <c r="I181">
        <v>30</v>
      </c>
    </row>
    <row r="182" spans="1:9" x14ac:dyDescent="0.35">
      <c r="A182" t="s">
        <v>273</v>
      </c>
      <c r="B182" t="s">
        <v>270</v>
      </c>
      <c r="C182" t="s">
        <v>26</v>
      </c>
      <c r="E182" t="s">
        <v>44</v>
      </c>
      <c r="F182">
        <v>30</v>
      </c>
      <c r="G182">
        <v>26.7</v>
      </c>
      <c r="H182" t="s">
        <v>14</v>
      </c>
      <c r="I182">
        <v>30</v>
      </c>
    </row>
    <row r="183" spans="1:9" x14ac:dyDescent="0.35">
      <c r="A183" t="s">
        <v>274</v>
      </c>
      <c r="B183" t="s">
        <v>270</v>
      </c>
      <c r="C183" t="s">
        <v>26</v>
      </c>
      <c r="E183" t="s">
        <v>44</v>
      </c>
      <c r="F183">
        <v>30</v>
      </c>
      <c r="G183">
        <v>40</v>
      </c>
      <c r="H183" t="s">
        <v>14</v>
      </c>
      <c r="I183">
        <v>30</v>
      </c>
    </row>
    <row r="184" spans="1:9" x14ac:dyDescent="0.35">
      <c r="A184" t="s">
        <v>275</v>
      </c>
      <c r="B184" t="s">
        <v>276</v>
      </c>
      <c r="C184" t="s">
        <v>26</v>
      </c>
      <c r="D184">
        <v>11</v>
      </c>
      <c r="E184" t="s">
        <v>44</v>
      </c>
      <c r="F184" t="s">
        <v>127</v>
      </c>
      <c r="H184" t="s">
        <v>14</v>
      </c>
      <c r="I184" t="s">
        <v>21</v>
      </c>
    </row>
    <row r="185" spans="1:9" x14ac:dyDescent="0.35">
      <c r="A185" t="s">
        <v>277</v>
      </c>
      <c r="B185" t="s">
        <v>278</v>
      </c>
      <c r="C185" t="s">
        <v>26</v>
      </c>
      <c r="E185" t="s">
        <v>44</v>
      </c>
      <c r="F185" t="s">
        <v>21</v>
      </c>
      <c r="H185" t="s">
        <v>14</v>
      </c>
      <c r="I185" t="s">
        <v>21</v>
      </c>
    </row>
    <row r="186" spans="1:9" x14ac:dyDescent="0.35">
      <c r="A186" t="s">
        <v>279</v>
      </c>
      <c r="B186" t="s">
        <v>280</v>
      </c>
      <c r="C186" t="s">
        <v>26</v>
      </c>
      <c r="D186" t="s">
        <v>79</v>
      </c>
      <c r="E186" t="s">
        <v>44</v>
      </c>
      <c r="F186" t="s">
        <v>21</v>
      </c>
      <c r="H186" t="s">
        <v>14</v>
      </c>
      <c r="I186" t="s">
        <v>21</v>
      </c>
    </row>
    <row r="187" spans="1:9" x14ac:dyDescent="0.35">
      <c r="A187" t="s">
        <v>281</v>
      </c>
      <c r="B187" t="s">
        <v>282</v>
      </c>
      <c r="C187" t="s">
        <v>26</v>
      </c>
      <c r="D187">
        <v>0.2</v>
      </c>
      <c r="E187" t="s">
        <v>283</v>
      </c>
      <c r="F187">
        <v>12</v>
      </c>
      <c r="G187">
        <v>0.7</v>
      </c>
      <c r="H187" t="s">
        <v>10</v>
      </c>
      <c r="I187">
        <v>15</v>
      </c>
    </row>
    <row r="188" spans="1:9" x14ac:dyDescent="0.35">
      <c r="A188" t="s">
        <v>284</v>
      </c>
      <c r="B188" t="s">
        <v>284</v>
      </c>
      <c r="C188" t="s">
        <v>26</v>
      </c>
      <c r="D188" t="s">
        <v>285</v>
      </c>
      <c r="E188" t="s">
        <v>12</v>
      </c>
      <c r="F188" t="s">
        <v>87</v>
      </c>
      <c r="G188">
        <v>1.6</v>
      </c>
      <c r="H188" t="s">
        <v>10</v>
      </c>
      <c r="I188" t="s">
        <v>87</v>
      </c>
    </row>
    <row r="189" spans="1:9" x14ac:dyDescent="0.35">
      <c r="A189" t="s">
        <v>286</v>
      </c>
      <c r="B189" t="s">
        <v>286</v>
      </c>
      <c r="C189" t="s">
        <v>26</v>
      </c>
      <c r="D189">
        <v>1</v>
      </c>
      <c r="E189" t="s">
        <v>287</v>
      </c>
      <c r="F189" t="s">
        <v>87</v>
      </c>
      <c r="G189">
        <v>1.6</v>
      </c>
      <c r="H189" t="s">
        <v>10</v>
      </c>
      <c r="I189" t="s">
        <v>87</v>
      </c>
    </row>
    <row r="190" spans="1:9" x14ac:dyDescent="0.35">
      <c r="A190" t="s">
        <v>288</v>
      </c>
      <c r="B190" t="s">
        <v>289</v>
      </c>
      <c r="C190" t="s">
        <v>26</v>
      </c>
      <c r="D190">
        <v>16</v>
      </c>
      <c r="E190" t="s">
        <v>189</v>
      </c>
      <c r="F190">
        <v>30</v>
      </c>
      <c r="I190">
        <v>30</v>
      </c>
    </row>
    <row r="191" spans="1:9" x14ac:dyDescent="0.35">
      <c r="A191" t="s">
        <v>290</v>
      </c>
      <c r="B191" t="s">
        <v>291</v>
      </c>
      <c r="C191" t="s">
        <v>20</v>
      </c>
      <c r="D191">
        <v>16</v>
      </c>
      <c r="E191" t="s">
        <v>189</v>
      </c>
      <c r="F191">
        <v>30</v>
      </c>
      <c r="G191">
        <v>6.8</v>
      </c>
      <c r="I191">
        <v>30</v>
      </c>
    </row>
    <row r="192" spans="1:9" x14ac:dyDescent="0.35">
      <c r="A192" t="s">
        <v>292</v>
      </c>
      <c r="B192" t="s">
        <v>293</v>
      </c>
      <c r="C192" t="s">
        <v>20</v>
      </c>
      <c r="D192">
        <v>0.85</v>
      </c>
      <c r="E192" t="s">
        <v>145</v>
      </c>
      <c r="F192">
        <v>12</v>
      </c>
      <c r="H192" t="s">
        <v>14</v>
      </c>
      <c r="I192">
        <v>15</v>
      </c>
    </row>
    <row r="193" spans="1:9" x14ac:dyDescent="0.35">
      <c r="A193" t="s">
        <v>294</v>
      </c>
      <c r="B193" t="s">
        <v>295</v>
      </c>
      <c r="C193" t="s">
        <v>26</v>
      </c>
      <c r="D193">
        <v>30</v>
      </c>
      <c r="E193" t="s">
        <v>44</v>
      </c>
      <c r="F193">
        <v>30</v>
      </c>
      <c r="G193">
        <v>6</v>
      </c>
      <c r="I193">
        <v>30</v>
      </c>
    </row>
    <row r="194" spans="1:9" x14ac:dyDescent="0.35">
      <c r="A194" t="s">
        <v>296</v>
      </c>
      <c r="B194" t="s">
        <v>295</v>
      </c>
      <c r="C194" t="s">
        <v>26</v>
      </c>
      <c r="D194">
        <v>30</v>
      </c>
      <c r="E194" t="s">
        <v>70</v>
      </c>
      <c r="F194">
        <v>30</v>
      </c>
      <c r="G194">
        <v>6</v>
      </c>
      <c r="I194">
        <v>30</v>
      </c>
    </row>
    <row r="195" spans="1:9" x14ac:dyDescent="0.35">
      <c r="A195" t="s">
        <v>297</v>
      </c>
      <c r="B195" t="s">
        <v>295</v>
      </c>
      <c r="C195" t="s">
        <v>26</v>
      </c>
      <c r="D195">
        <v>30</v>
      </c>
      <c r="E195" t="s">
        <v>298</v>
      </c>
      <c r="F195">
        <v>30</v>
      </c>
      <c r="G195">
        <v>6</v>
      </c>
      <c r="I195">
        <v>30</v>
      </c>
    </row>
    <row r="196" spans="1:9" x14ac:dyDescent="0.35">
      <c r="A196" t="s">
        <v>299</v>
      </c>
      <c r="B196" t="s">
        <v>295</v>
      </c>
      <c r="C196" t="s">
        <v>26</v>
      </c>
      <c r="D196">
        <v>30</v>
      </c>
      <c r="E196" t="s">
        <v>300</v>
      </c>
      <c r="F196">
        <v>30</v>
      </c>
      <c r="G196">
        <v>6</v>
      </c>
      <c r="I196">
        <v>30</v>
      </c>
    </row>
    <row r="197" spans="1:9" x14ac:dyDescent="0.35">
      <c r="A197" t="s">
        <v>301</v>
      </c>
      <c r="B197" t="s">
        <v>295</v>
      </c>
      <c r="C197" t="s">
        <v>26</v>
      </c>
      <c r="D197">
        <v>30</v>
      </c>
      <c r="E197" t="s">
        <v>302</v>
      </c>
      <c r="F197">
        <v>30</v>
      </c>
      <c r="G197">
        <v>6</v>
      </c>
      <c r="I197">
        <v>30</v>
      </c>
    </row>
    <row r="198" spans="1:9" x14ac:dyDescent="0.35">
      <c r="A198" t="s">
        <v>303</v>
      </c>
      <c r="B198" t="s">
        <v>295</v>
      </c>
      <c r="C198" t="s">
        <v>26</v>
      </c>
      <c r="D198">
        <v>30</v>
      </c>
      <c r="E198" t="s">
        <v>145</v>
      </c>
      <c r="F198">
        <v>30</v>
      </c>
      <c r="G198">
        <v>6</v>
      </c>
      <c r="I198">
        <v>30</v>
      </c>
    </row>
    <row r="199" spans="1:9" x14ac:dyDescent="0.35">
      <c r="A199" t="s">
        <v>304</v>
      </c>
      <c r="B199" t="s">
        <v>295</v>
      </c>
      <c r="C199" t="s">
        <v>26</v>
      </c>
      <c r="D199">
        <v>30</v>
      </c>
      <c r="E199" t="s">
        <v>305</v>
      </c>
      <c r="F199">
        <v>30</v>
      </c>
      <c r="G199">
        <v>6</v>
      </c>
      <c r="I199">
        <v>30</v>
      </c>
    </row>
    <row r="200" spans="1:9" x14ac:dyDescent="0.35">
      <c r="A200" t="s">
        <v>306</v>
      </c>
      <c r="B200" t="s">
        <v>295</v>
      </c>
      <c r="C200" t="s">
        <v>26</v>
      </c>
      <c r="D200">
        <v>30</v>
      </c>
      <c r="E200" t="s">
        <v>307</v>
      </c>
      <c r="F200">
        <v>30</v>
      </c>
      <c r="G200">
        <v>6</v>
      </c>
      <c r="I200">
        <v>30</v>
      </c>
    </row>
    <row r="201" spans="1:9" x14ac:dyDescent="0.35">
      <c r="A201" t="s">
        <v>308</v>
      </c>
      <c r="B201" t="s">
        <v>309</v>
      </c>
      <c r="C201" t="s">
        <v>20</v>
      </c>
      <c r="D201">
        <v>8</v>
      </c>
      <c r="E201" t="s">
        <v>70</v>
      </c>
      <c r="F201">
        <v>15</v>
      </c>
      <c r="G201">
        <v>6</v>
      </c>
      <c r="H201" t="s">
        <v>14</v>
      </c>
      <c r="I201">
        <v>30</v>
      </c>
    </row>
    <row r="202" spans="1:9" x14ac:dyDescent="0.35">
      <c r="A202" t="s">
        <v>310</v>
      </c>
      <c r="B202" t="s">
        <v>309</v>
      </c>
      <c r="C202" t="s">
        <v>20</v>
      </c>
      <c r="D202">
        <v>8</v>
      </c>
      <c r="E202" t="s">
        <v>311</v>
      </c>
      <c r="F202">
        <v>15</v>
      </c>
      <c r="G202">
        <v>6</v>
      </c>
      <c r="H202" t="s">
        <v>14</v>
      </c>
      <c r="I202">
        <v>30</v>
      </c>
    </row>
    <row r="203" spans="1:9" x14ac:dyDescent="0.35">
      <c r="A203" t="s">
        <v>312</v>
      </c>
      <c r="B203" t="s">
        <v>309</v>
      </c>
      <c r="C203" t="s">
        <v>20</v>
      </c>
      <c r="D203">
        <v>8</v>
      </c>
      <c r="E203" t="s">
        <v>302</v>
      </c>
      <c r="F203">
        <v>15</v>
      </c>
      <c r="G203">
        <v>6</v>
      </c>
      <c r="H203" t="s">
        <v>14</v>
      </c>
      <c r="I203">
        <v>30</v>
      </c>
    </row>
    <row r="204" spans="1:9" x14ac:dyDescent="0.35">
      <c r="A204" t="s">
        <v>313</v>
      </c>
      <c r="B204" t="s">
        <v>309</v>
      </c>
      <c r="C204" t="s">
        <v>20</v>
      </c>
      <c r="D204">
        <v>8</v>
      </c>
      <c r="E204" t="s">
        <v>311</v>
      </c>
      <c r="F204">
        <v>15</v>
      </c>
      <c r="G204">
        <v>6</v>
      </c>
      <c r="H204" t="s">
        <v>14</v>
      </c>
      <c r="I204">
        <v>30</v>
      </c>
    </row>
    <row r="205" spans="1:9" x14ac:dyDescent="0.35">
      <c r="A205" t="s">
        <v>314</v>
      </c>
      <c r="B205" t="s">
        <v>309</v>
      </c>
      <c r="C205" t="s">
        <v>20</v>
      </c>
      <c r="D205">
        <v>8</v>
      </c>
      <c r="E205" t="s">
        <v>305</v>
      </c>
      <c r="F205">
        <v>15</v>
      </c>
      <c r="G205">
        <v>6</v>
      </c>
      <c r="H205" t="s">
        <v>14</v>
      </c>
      <c r="I205">
        <v>30</v>
      </c>
    </row>
    <row r="206" spans="1:9" x14ac:dyDescent="0.35">
      <c r="A206" t="s">
        <v>315</v>
      </c>
      <c r="B206" t="s">
        <v>309</v>
      </c>
      <c r="C206" t="s">
        <v>20</v>
      </c>
      <c r="D206">
        <v>8</v>
      </c>
      <c r="E206" t="s">
        <v>316</v>
      </c>
      <c r="F206">
        <v>15</v>
      </c>
      <c r="G206">
        <v>6</v>
      </c>
      <c r="H206" t="s">
        <v>14</v>
      </c>
      <c r="I206">
        <v>30</v>
      </c>
    </row>
    <row r="207" spans="1:9" x14ac:dyDescent="0.35">
      <c r="A207" t="s">
        <v>317</v>
      </c>
      <c r="B207" t="s">
        <v>309</v>
      </c>
      <c r="C207" t="s">
        <v>20</v>
      </c>
      <c r="D207">
        <v>8</v>
      </c>
      <c r="E207" t="s">
        <v>318</v>
      </c>
      <c r="F207">
        <v>15</v>
      </c>
      <c r="G207">
        <v>6</v>
      </c>
      <c r="H207" t="s">
        <v>14</v>
      </c>
      <c r="I207">
        <v>30</v>
      </c>
    </row>
    <row r="208" spans="1:9" x14ac:dyDescent="0.35">
      <c r="A208" t="s">
        <v>319</v>
      </c>
      <c r="B208" t="s">
        <v>320</v>
      </c>
      <c r="C208" t="s">
        <v>26</v>
      </c>
      <c r="D208">
        <v>6</v>
      </c>
      <c r="E208" t="s">
        <v>70</v>
      </c>
      <c r="F208">
        <v>8</v>
      </c>
      <c r="G208">
        <v>6</v>
      </c>
      <c r="I208">
        <v>15</v>
      </c>
    </row>
    <row r="209" spans="1:9" x14ac:dyDescent="0.35">
      <c r="A209" t="s">
        <v>321</v>
      </c>
      <c r="B209" t="s">
        <v>320</v>
      </c>
      <c r="C209" t="s">
        <v>26</v>
      </c>
      <c r="D209">
        <v>5</v>
      </c>
      <c r="E209" t="s">
        <v>302</v>
      </c>
      <c r="F209">
        <v>8</v>
      </c>
      <c r="I209">
        <v>15</v>
      </c>
    </row>
    <row r="210" spans="1:9" x14ac:dyDescent="0.35">
      <c r="A210" t="s">
        <v>322</v>
      </c>
      <c r="B210" t="s">
        <v>323</v>
      </c>
      <c r="C210" t="s">
        <v>20</v>
      </c>
      <c r="D210">
        <v>30</v>
      </c>
      <c r="E210" t="s">
        <v>324</v>
      </c>
      <c r="F210">
        <v>30</v>
      </c>
      <c r="G210">
        <v>7</v>
      </c>
      <c r="H210" t="s">
        <v>14</v>
      </c>
      <c r="I210">
        <v>30</v>
      </c>
    </row>
    <row r="211" spans="1:9" x14ac:dyDescent="0.35">
      <c r="A211" t="s">
        <v>325</v>
      </c>
      <c r="B211" t="s">
        <v>323</v>
      </c>
      <c r="C211" t="s">
        <v>20</v>
      </c>
      <c r="D211">
        <v>30</v>
      </c>
      <c r="E211" t="s">
        <v>12</v>
      </c>
      <c r="F211">
        <v>30</v>
      </c>
      <c r="G211">
        <v>7</v>
      </c>
      <c r="H211" t="s">
        <v>14</v>
      </c>
      <c r="I211">
        <v>30</v>
      </c>
    </row>
    <row r="212" spans="1:9" x14ac:dyDescent="0.35">
      <c r="A212" t="s">
        <v>326</v>
      </c>
      <c r="B212" t="s">
        <v>327</v>
      </c>
      <c r="C212" t="s">
        <v>26</v>
      </c>
      <c r="D212">
        <v>30</v>
      </c>
      <c r="E212" t="s">
        <v>12</v>
      </c>
      <c r="F212">
        <v>30</v>
      </c>
      <c r="G212">
        <v>7</v>
      </c>
      <c r="H212" t="s">
        <v>14</v>
      </c>
      <c r="I212">
        <v>30</v>
      </c>
    </row>
    <row r="213" spans="1:9" x14ac:dyDescent="0.35">
      <c r="A213" t="s">
        <v>328</v>
      </c>
      <c r="B213" t="s">
        <v>327</v>
      </c>
      <c r="C213" t="s">
        <v>26</v>
      </c>
      <c r="D213">
        <v>30</v>
      </c>
      <c r="E213" t="s">
        <v>283</v>
      </c>
      <c r="F213">
        <v>30</v>
      </c>
      <c r="H213" t="s">
        <v>10</v>
      </c>
      <c r="I213">
        <v>30</v>
      </c>
    </row>
    <row r="214" spans="1:9" x14ac:dyDescent="0.35">
      <c r="A214" t="s">
        <v>329</v>
      </c>
      <c r="B214" t="s">
        <v>330</v>
      </c>
      <c r="C214" t="s">
        <v>20</v>
      </c>
      <c r="D214">
        <v>25</v>
      </c>
      <c r="E214" t="s">
        <v>31</v>
      </c>
      <c r="F214">
        <v>30</v>
      </c>
      <c r="I214">
        <v>30</v>
      </c>
    </row>
    <row r="215" spans="1:9" x14ac:dyDescent="0.35">
      <c r="A215" t="s">
        <v>331</v>
      </c>
      <c r="B215" t="s">
        <v>332</v>
      </c>
      <c r="C215" t="s">
        <v>26</v>
      </c>
      <c r="D215">
        <v>5</v>
      </c>
      <c r="E215" t="s">
        <v>12</v>
      </c>
      <c r="F215">
        <v>8</v>
      </c>
      <c r="G215">
        <v>7.5</v>
      </c>
      <c r="I215">
        <v>15</v>
      </c>
    </row>
    <row r="216" spans="1:9" x14ac:dyDescent="0.35">
      <c r="A216" t="s">
        <v>333</v>
      </c>
      <c r="B216" t="s">
        <v>334</v>
      </c>
      <c r="C216" t="s">
        <v>26</v>
      </c>
      <c r="D216">
        <v>6</v>
      </c>
      <c r="E216" t="s">
        <v>283</v>
      </c>
      <c r="F216">
        <v>15</v>
      </c>
      <c r="G216">
        <v>6.5</v>
      </c>
      <c r="H216" t="s">
        <v>10</v>
      </c>
      <c r="I216">
        <v>15</v>
      </c>
    </row>
    <row r="217" spans="1:9" x14ac:dyDescent="0.35">
      <c r="A217" t="s">
        <v>335</v>
      </c>
      <c r="B217" t="s">
        <v>336</v>
      </c>
      <c r="C217" t="s">
        <v>26</v>
      </c>
      <c r="D217">
        <v>6.5</v>
      </c>
      <c r="E217" t="s">
        <v>337</v>
      </c>
      <c r="F217">
        <v>15</v>
      </c>
      <c r="G217">
        <v>6</v>
      </c>
      <c r="H217" t="s">
        <v>10</v>
      </c>
      <c r="I217">
        <v>30</v>
      </c>
    </row>
    <row r="218" spans="1:9" x14ac:dyDescent="0.35">
      <c r="A218" t="s">
        <v>338</v>
      </c>
      <c r="B218" t="s">
        <v>339</v>
      </c>
      <c r="C218" t="s">
        <v>26</v>
      </c>
      <c r="D218">
        <v>5</v>
      </c>
      <c r="E218" t="s">
        <v>337</v>
      </c>
      <c r="F218" t="s">
        <v>73</v>
      </c>
      <c r="G218">
        <v>5.5</v>
      </c>
      <c r="H218" t="s">
        <v>10</v>
      </c>
      <c r="I218" t="s">
        <v>21</v>
      </c>
    </row>
    <row r="219" spans="1:9" x14ac:dyDescent="0.35">
      <c r="A219" t="s">
        <v>340</v>
      </c>
      <c r="B219" t="s">
        <v>341</v>
      </c>
      <c r="C219" t="s">
        <v>26</v>
      </c>
      <c r="D219">
        <v>20</v>
      </c>
      <c r="E219" t="s">
        <v>342</v>
      </c>
      <c r="F219" t="s">
        <v>21</v>
      </c>
      <c r="H219" t="s">
        <v>10</v>
      </c>
      <c r="I219" t="s">
        <v>21</v>
      </c>
    </row>
    <row r="220" spans="1:9" x14ac:dyDescent="0.35">
      <c r="A220" t="s">
        <v>343</v>
      </c>
      <c r="B220" t="s">
        <v>344</v>
      </c>
      <c r="C220" t="s">
        <v>26</v>
      </c>
      <c r="D220" t="s">
        <v>34</v>
      </c>
      <c r="E220" t="s">
        <v>31</v>
      </c>
      <c r="F220" t="s">
        <v>21</v>
      </c>
      <c r="H220" t="s">
        <v>14</v>
      </c>
      <c r="I220" t="s">
        <v>21</v>
      </c>
    </row>
    <row r="221" spans="1:9" x14ac:dyDescent="0.35">
      <c r="A221" t="s">
        <v>345</v>
      </c>
      <c r="B221" t="s">
        <v>346</v>
      </c>
      <c r="C221" t="s">
        <v>26</v>
      </c>
      <c r="D221">
        <v>8.5</v>
      </c>
      <c r="E221" t="s">
        <v>192</v>
      </c>
      <c r="F221" t="s">
        <v>84</v>
      </c>
      <c r="I221" t="s">
        <v>73</v>
      </c>
    </row>
    <row r="222" spans="1:9" x14ac:dyDescent="0.35">
      <c r="A222" t="s">
        <v>347</v>
      </c>
      <c r="B222" t="s">
        <v>348</v>
      </c>
      <c r="C222" t="s">
        <v>26</v>
      </c>
      <c r="D222">
        <v>14</v>
      </c>
      <c r="E222" t="s">
        <v>192</v>
      </c>
      <c r="F222" t="s">
        <v>21</v>
      </c>
      <c r="H222" t="s">
        <v>14</v>
      </c>
      <c r="I222" t="s">
        <v>50</v>
      </c>
    </row>
    <row r="223" spans="1:9" x14ac:dyDescent="0.35">
      <c r="A223" t="s">
        <v>349</v>
      </c>
      <c r="B223" t="s">
        <v>350</v>
      </c>
      <c r="C223" t="s">
        <v>10</v>
      </c>
      <c r="D223">
        <v>130</v>
      </c>
      <c r="E223" t="s">
        <v>195</v>
      </c>
      <c r="F223" t="s">
        <v>21</v>
      </c>
      <c r="G223">
        <v>3.4</v>
      </c>
      <c r="I223" t="s">
        <v>21</v>
      </c>
    </row>
    <row r="224" spans="1:9" x14ac:dyDescent="0.35">
      <c r="A224" t="s">
        <v>351</v>
      </c>
      <c r="B224" t="s">
        <v>351</v>
      </c>
      <c r="C224" t="s">
        <v>20</v>
      </c>
      <c r="E224" t="s">
        <v>352</v>
      </c>
      <c r="F224">
        <v>30</v>
      </c>
      <c r="G224">
        <v>21</v>
      </c>
      <c r="H224" t="s">
        <v>10</v>
      </c>
      <c r="I224">
        <v>30</v>
      </c>
    </row>
    <row r="225" spans="1:9" x14ac:dyDescent="0.35">
      <c r="A225" t="s">
        <v>353</v>
      </c>
      <c r="B225" t="s">
        <v>354</v>
      </c>
      <c r="C225" t="s">
        <v>20</v>
      </c>
      <c r="D225">
        <v>630</v>
      </c>
      <c r="E225" t="s">
        <v>31</v>
      </c>
      <c r="F225" t="s">
        <v>21</v>
      </c>
      <c r="G225">
        <v>6</v>
      </c>
      <c r="I225" t="s">
        <v>21</v>
      </c>
    </row>
    <row r="226" spans="1:9" x14ac:dyDescent="0.35">
      <c r="A226" t="s">
        <v>355</v>
      </c>
      <c r="B226" t="s">
        <v>354</v>
      </c>
      <c r="C226" t="s">
        <v>20</v>
      </c>
      <c r="D226">
        <v>230</v>
      </c>
      <c r="E226" t="s">
        <v>31</v>
      </c>
      <c r="F226" t="s">
        <v>21</v>
      </c>
      <c r="G226">
        <v>13.3</v>
      </c>
      <c r="I226" t="s">
        <v>21</v>
      </c>
    </row>
    <row r="227" spans="1:9" x14ac:dyDescent="0.35">
      <c r="A227" t="s">
        <v>356</v>
      </c>
      <c r="B227" t="s">
        <v>354</v>
      </c>
      <c r="C227" t="s">
        <v>20</v>
      </c>
      <c r="D227">
        <v>180</v>
      </c>
      <c r="E227" t="s">
        <v>31</v>
      </c>
      <c r="F227" t="s">
        <v>21</v>
      </c>
      <c r="G227">
        <v>16.7</v>
      </c>
      <c r="I227" t="s">
        <v>21</v>
      </c>
    </row>
    <row r="228" spans="1:9" x14ac:dyDescent="0.35">
      <c r="A228" t="s">
        <v>357</v>
      </c>
      <c r="B228" t="s">
        <v>354</v>
      </c>
      <c r="C228" t="s">
        <v>20</v>
      </c>
      <c r="D228">
        <v>130</v>
      </c>
      <c r="E228" t="s">
        <v>31</v>
      </c>
      <c r="F228" t="s">
        <v>21</v>
      </c>
      <c r="G228">
        <v>26.7</v>
      </c>
      <c r="I228" t="s">
        <v>21</v>
      </c>
    </row>
    <row r="229" spans="1:9" x14ac:dyDescent="0.35">
      <c r="A229" t="s">
        <v>358</v>
      </c>
      <c r="B229" t="s">
        <v>359</v>
      </c>
      <c r="C229" t="s">
        <v>20</v>
      </c>
      <c r="D229">
        <v>770</v>
      </c>
      <c r="E229" t="s">
        <v>360</v>
      </c>
      <c r="F229" t="s">
        <v>21</v>
      </c>
      <c r="G229">
        <v>24</v>
      </c>
      <c r="H229" t="s">
        <v>10</v>
      </c>
      <c r="I229" t="s">
        <v>21</v>
      </c>
    </row>
    <row r="230" spans="1:9" x14ac:dyDescent="0.35">
      <c r="A230" t="s">
        <v>361</v>
      </c>
      <c r="B230" t="s">
        <v>362</v>
      </c>
      <c r="C230" t="s">
        <v>26</v>
      </c>
      <c r="D230">
        <v>35</v>
      </c>
      <c r="E230" t="s">
        <v>12</v>
      </c>
      <c r="F230" t="s">
        <v>21</v>
      </c>
      <c r="I230" t="s">
        <v>21</v>
      </c>
    </row>
    <row r="231" spans="1:9" x14ac:dyDescent="0.35">
      <c r="A231" t="s">
        <v>363</v>
      </c>
      <c r="B231" t="s">
        <v>364</v>
      </c>
      <c r="C231" t="s">
        <v>20</v>
      </c>
      <c r="D231">
        <v>118</v>
      </c>
      <c r="E231" t="s">
        <v>12</v>
      </c>
      <c r="F231" t="s">
        <v>21</v>
      </c>
      <c r="G231">
        <v>5.2</v>
      </c>
      <c r="H231" t="s">
        <v>10</v>
      </c>
      <c r="I231" t="s">
        <v>21</v>
      </c>
    </row>
    <row r="232" spans="1:9" x14ac:dyDescent="0.35">
      <c r="A232" t="s">
        <v>365</v>
      </c>
      <c r="B232" t="s">
        <v>366</v>
      </c>
      <c r="C232" t="s">
        <v>20</v>
      </c>
      <c r="D232">
        <v>30</v>
      </c>
      <c r="E232" t="s">
        <v>44</v>
      </c>
      <c r="F232" t="s">
        <v>21</v>
      </c>
      <c r="G232">
        <v>6</v>
      </c>
      <c r="H232" t="s">
        <v>14</v>
      </c>
      <c r="I232" t="s">
        <v>21</v>
      </c>
    </row>
    <row r="233" spans="1:9" x14ac:dyDescent="0.35">
      <c r="A233" t="s">
        <v>367</v>
      </c>
      <c r="B233" t="s">
        <v>368</v>
      </c>
      <c r="C233" t="s">
        <v>26</v>
      </c>
      <c r="D233">
        <v>11</v>
      </c>
      <c r="E233" t="s">
        <v>342</v>
      </c>
      <c r="F233" t="s">
        <v>127</v>
      </c>
      <c r="G233">
        <v>13</v>
      </c>
      <c r="H233" t="s">
        <v>10</v>
      </c>
      <c r="I233" t="s">
        <v>127</v>
      </c>
    </row>
    <row r="234" spans="1:9" x14ac:dyDescent="0.35">
      <c r="A234" t="s">
        <v>369</v>
      </c>
      <c r="B234" t="s">
        <v>370</v>
      </c>
      <c r="C234" t="s">
        <v>26</v>
      </c>
      <c r="D234">
        <v>15</v>
      </c>
      <c r="E234" t="s">
        <v>23</v>
      </c>
      <c r="F234" t="s">
        <v>21</v>
      </c>
      <c r="H234" t="s">
        <v>14</v>
      </c>
      <c r="I234" t="s">
        <v>21</v>
      </c>
    </row>
    <row r="235" spans="1:9" x14ac:dyDescent="0.35">
      <c r="A235" t="s">
        <v>371</v>
      </c>
      <c r="B235" t="s">
        <v>372</v>
      </c>
      <c r="C235" t="s">
        <v>26</v>
      </c>
      <c r="D235">
        <v>8</v>
      </c>
      <c r="E235" t="s">
        <v>31</v>
      </c>
      <c r="F235" t="s">
        <v>21</v>
      </c>
      <c r="H235" t="s">
        <v>14</v>
      </c>
      <c r="I235" t="s">
        <v>21</v>
      </c>
    </row>
    <row r="236" spans="1:9" x14ac:dyDescent="0.35">
      <c r="A236" t="s">
        <v>373</v>
      </c>
      <c r="B236" t="s">
        <v>374</v>
      </c>
      <c r="C236" t="s">
        <v>26</v>
      </c>
      <c r="D236">
        <v>5</v>
      </c>
      <c r="E236" t="s">
        <v>189</v>
      </c>
      <c r="F236">
        <v>30</v>
      </c>
      <c r="G236">
        <v>3.3</v>
      </c>
      <c r="I236">
        <v>30</v>
      </c>
    </row>
    <row r="237" spans="1:9" x14ac:dyDescent="0.35">
      <c r="A237" t="s">
        <v>375</v>
      </c>
      <c r="B237" t="s">
        <v>376</v>
      </c>
      <c r="C237" t="s">
        <v>26</v>
      </c>
      <c r="D237">
        <v>3.5</v>
      </c>
      <c r="E237" t="s">
        <v>64</v>
      </c>
      <c r="F237">
        <v>30</v>
      </c>
      <c r="I237">
        <v>30</v>
      </c>
    </row>
    <row r="238" spans="1:9" x14ac:dyDescent="0.35">
      <c r="A238" t="s">
        <v>377</v>
      </c>
      <c r="B238" t="s">
        <v>377</v>
      </c>
      <c r="C238" t="s">
        <v>26</v>
      </c>
      <c r="D238">
        <v>1.7</v>
      </c>
      <c r="E238" t="s">
        <v>64</v>
      </c>
      <c r="F238" t="s">
        <v>21</v>
      </c>
      <c r="G238">
        <v>5.5</v>
      </c>
      <c r="H238" t="s">
        <v>10</v>
      </c>
      <c r="I238" t="s">
        <v>21</v>
      </c>
    </row>
    <row r="239" spans="1:9" x14ac:dyDescent="0.35">
      <c r="A239" t="s">
        <v>378</v>
      </c>
      <c r="B239" t="s">
        <v>378</v>
      </c>
      <c r="C239" t="s">
        <v>26</v>
      </c>
      <c r="D239">
        <v>2.5</v>
      </c>
      <c r="E239" t="s">
        <v>64</v>
      </c>
      <c r="F239" t="s">
        <v>21</v>
      </c>
      <c r="I239" t="s">
        <v>21</v>
      </c>
    </row>
    <row r="240" spans="1:9" x14ac:dyDescent="0.35">
      <c r="A240" t="s">
        <v>379</v>
      </c>
      <c r="B240" t="s">
        <v>380</v>
      </c>
      <c r="C240" t="s">
        <v>26</v>
      </c>
      <c r="D240">
        <v>0.65</v>
      </c>
      <c r="E240" t="s">
        <v>305</v>
      </c>
      <c r="F240">
        <v>8</v>
      </c>
      <c r="G240">
        <v>7</v>
      </c>
      <c r="I240">
        <v>15</v>
      </c>
    </row>
    <row r="241" spans="1:9" x14ac:dyDescent="0.35">
      <c r="A241" t="s">
        <v>381</v>
      </c>
      <c r="B241" t="s">
        <v>382</v>
      </c>
      <c r="C241" t="s">
        <v>26</v>
      </c>
      <c r="D241">
        <v>0.85</v>
      </c>
      <c r="E241" t="s">
        <v>305</v>
      </c>
      <c r="F241">
        <v>12</v>
      </c>
      <c r="G241">
        <v>7</v>
      </c>
      <c r="I241">
        <v>15</v>
      </c>
    </row>
    <row r="242" spans="1:9" x14ac:dyDescent="0.35">
      <c r="A242" t="s">
        <v>383</v>
      </c>
      <c r="B242" t="s">
        <v>384</v>
      </c>
      <c r="C242" t="s">
        <v>26</v>
      </c>
      <c r="D242">
        <v>0.65</v>
      </c>
      <c r="E242" t="s">
        <v>302</v>
      </c>
      <c r="F242">
        <v>8</v>
      </c>
      <c r="G242">
        <v>6.5</v>
      </c>
      <c r="H242" t="s">
        <v>14</v>
      </c>
      <c r="I242">
        <v>15</v>
      </c>
    </row>
    <row r="243" spans="1:9" x14ac:dyDescent="0.35">
      <c r="A243" t="s">
        <v>385</v>
      </c>
      <c r="B243" t="s">
        <v>384</v>
      </c>
      <c r="C243" t="s">
        <v>26</v>
      </c>
      <c r="D243">
        <v>0.65</v>
      </c>
      <c r="E243" t="s">
        <v>93</v>
      </c>
      <c r="F243">
        <v>8</v>
      </c>
      <c r="G243">
        <v>6.5</v>
      </c>
      <c r="H243" t="s">
        <v>14</v>
      </c>
      <c r="I243">
        <v>15</v>
      </c>
    </row>
    <row r="244" spans="1:9" x14ac:dyDescent="0.35">
      <c r="A244" t="s">
        <v>386</v>
      </c>
      <c r="B244" t="s">
        <v>384</v>
      </c>
      <c r="C244" t="s">
        <v>26</v>
      </c>
      <c r="D244">
        <v>0.65</v>
      </c>
      <c r="E244" t="s">
        <v>311</v>
      </c>
      <c r="F244">
        <v>8</v>
      </c>
      <c r="G244">
        <v>6.5</v>
      </c>
      <c r="H244" t="s">
        <v>14</v>
      </c>
      <c r="I244">
        <v>15</v>
      </c>
    </row>
    <row r="245" spans="1:9" x14ac:dyDescent="0.35">
      <c r="A245" t="s">
        <v>387</v>
      </c>
      <c r="B245" t="s">
        <v>384</v>
      </c>
      <c r="C245" t="s">
        <v>26</v>
      </c>
      <c r="D245">
        <v>0.65</v>
      </c>
      <c r="E245" t="s">
        <v>388</v>
      </c>
      <c r="F245">
        <v>8</v>
      </c>
      <c r="G245">
        <v>6.5</v>
      </c>
      <c r="H245" t="s">
        <v>14</v>
      </c>
      <c r="I245">
        <v>15</v>
      </c>
    </row>
    <row r="246" spans="1:9" x14ac:dyDescent="0.35">
      <c r="A246" t="s">
        <v>389</v>
      </c>
      <c r="B246" t="s">
        <v>384</v>
      </c>
      <c r="C246" t="s">
        <v>26</v>
      </c>
      <c r="D246">
        <v>0.65</v>
      </c>
      <c r="E246" t="s">
        <v>305</v>
      </c>
      <c r="F246">
        <v>8</v>
      </c>
      <c r="G246">
        <v>6.5</v>
      </c>
      <c r="H246" t="s">
        <v>14</v>
      </c>
      <c r="I246">
        <v>15</v>
      </c>
    </row>
    <row r="247" spans="1:9" x14ac:dyDescent="0.35">
      <c r="A247" t="s">
        <v>390</v>
      </c>
      <c r="B247" t="s">
        <v>384</v>
      </c>
      <c r="C247" t="s">
        <v>26</v>
      </c>
      <c r="D247">
        <v>0.65</v>
      </c>
      <c r="E247" t="s">
        <v>318</v>
      </c>
      <c r="F247">
        <v>8</v>
      </c>
      <c r="G247">
        <v>6.5</v>
      </c>
      <c r="H247" t="s">
        <v>14</v>
      </c>
      <c r="I247">
        <v>15</v>
      </c>
    </row>
    <row r="248" spans="1:9" x14ac:dyDescent="0.35">
      <c r="A248" t="s">
        <v>391</v>
      </c>
      <c r="B248" t="s">
        <v>384</v>
      </c>
      <c r="C248" t="s">
        <v>26</v>
      </c>
      <c r="D248">
        <v>0.8</v>
      </c>
      <c r="E248" t="s">
        <v>388</v>
      </c>
      <c r="F248">
        <v>8</v>
      </c>
      <c r="G248">
        <v>6.5</v>
      </c>
      <c r="H248" t="s">
        <v>14</v>
      </c>
      <c r="I248">
        <v>15</v>
      </c>
    </row>
    <row r="249" spans="1:9" x14ac:dyDescent="0.35">
      <c r="A249" t="s">
        <v>392</v>
      </c>
      <c r="B249" t="s">
        <v>393</v>
      </c>
      <c r="C249" t="s">
        <v>26</v>
      </c>
      <c r="D249">
        <v>0.85</v>
      </c>
      <c r="E249" t="s">
        <v>318</v>
      </c>
      <c r="F249">
        <v>12</v>
      </c>
      <c r="I249">
        <v>15</v>
      </c>
    </row>
    <row r="250" spans="1:9" x14ac:dyDescent="0.35">
      <c r="A250" t="s">
        <v>394</v>
      </c>
      <c r="B250" t="s">
        <v>395</v>
      </c>
      <c r="C250" t="s">
        <v>26</v>
      </c>
      <c r="D250">
        <v>0.5</v>
      </c>
      <c r="E250" t="s">
        <v>318</v>
      </c>
      <c r="F250">
        <v>8</v>
      </c>
      <c r="G250">
        <v>9</v>
      </c>
      <c r="I250">
        <v>15</v>
      </c>
    </row>
    <row r="251" spans="1:9" x14ac:dyDescent="0.35">
      <c r="A251" t="s">
        <v>396</v>
      </c>
      <c r="B251" t="s">
        <v>397</v>
      </c>
      <c r="C251" t="s">
        <v>26</v>
      </c>
      <c r="D251">
        <v>0.45</v>
      </c>
      <c r="E251" t="s">
        <v>192</v>
      </c>
      <c r="F251">
        <v>8</v>
      </c>
      <c r="I251">
        <v>15</v>
      </c>
    </row>
    <row r="252" spans="1:9" x14ac:dyDescent="0.35">
      <c r="A252" t="s">
        <v>398</v>
      </c>
      <c r="B252" t="s">
        <v>399</v>
      </c>
      <c r="C252" t="s">
        <v>20</v>
      </c>
      <c r="D252">
        <v>0.4</v>
      </c>
      <c r="E252" t="s">
        <v>400</v>
      </c>
      <c r="F252">
        <v>8</v>
      </c>
      <c r="I252">
        <v>15</v>
      </c>
    </row>
    <row r="253" spans="1:9" x14ac:dyDescent="0.35">
      <c r="A253" t="s">
        <v>401</v>
      </c>
      <c r="B253" t="s">
        <v>402</v>
      </c>
      <c r="C253" t="s">
        <v>26</v>
      </c>
      <c r="D253">
        <v>0.3</v>
      </c>
      <c r="E253" t="s">
        <v>145</v>
      </c>
      <c r="F253">
        <f>22/-10</f>
        <v>-2.2000000000000002</v>
      </c>
      <c r="H253" t="s">
        <v>14</v>
      </c>
      <c r="I253">
        <f>22/-10</f>
        <v>-2.2000000000000002</v>
      </c>
    </row>
    <row r="254" spans="1:9" x14ac:dyDescent="0.35">
      <c r="A254" t="s">
        <v>403</v>
      </c>
      <c r="B254" t="s">
        <v>404</v>
      </c>
      <c r="C254" t="s">
        <v>20</v>
      </c>
      <c r="D254">
        <v>0.5</v>
      </c>
      <c r="E254" t="s">
        <v>12</v>
      </c>
      <c r="F254">
        <v>8</v>
      </c>
      <c r="I254">
        <v>15</v>
      </c>
    </row>
    <row r="255" spans="1:9" x14ac:dyDescent="0.35">
      <c r="A255" t="s">
        <v>405</v>
      </c>
      <c r="B255" t="s">
        <v>406</v>
      </c>
      <c r="C255" t="s">
        <v>26</v>
      </c>
      <c r="D255">
        <v>0.35</v>
      </c>
      <c r="E255" t="s">
        <v>12</v>
      </c>
      <c r="F255">
        <v>20</v>
      </c>
      <c r="G255">
        <v>6</v>
      </c>
      <c r="H255" t="s">
        <v>14</v>
      </c>
      <c r="I255">
        <v>30</v>
      </c>
    </row>
    <row r="256" spans="1:9" x14ac:dyDescent="0.35">
      <c r="A256" t="s">
        <v>407</v>
      </c>
      <c r="B256" t="s">
        <v>407</v>
      </c>
      <c r="C256" t="s">
        <v>26</v>
      </c>
      <c r="D256" t="s">
        <v>408</v>
      </c>
      <c r="F256">
        <v>20</v>
      </c>
      <c r="G256">
        <v>7</v>
      </c>
      <c r="H256" t="s">
        <v>10</v>
      </c>
      <c r="I256">
        <v>30</v>
      </c>
    </row>
    <row r="257" spans="1:9" x14ac:dyDescent="0.35">
      <c r="A257" t="s">
        <v>409</v>
      </c>
      <c r="B257" t="s">
        <v>410</v>
      </c>
      <c r="C257" t="s">
        <v>26</v>
      </c>
      <c r="D257">
        <v>1.7</v>
      </c>
      <c r="E257" t="s">
        <v>145</v>
      </c>
      <c r="F257" t="s">
        <v>21</v>
      </c>
      <c r="G257">
        <v>5.5</v>
      </c>
      <c r="H257" t="s">
        <v>10</v>
      </c>
      <c r="I257" t="s">
        <v>21</v>
      </c>
    </row>
    <row r="258" spans="1:9" x14ac:dyDescent="0.35">
      <c r="A258" t="s">
        <v>411</v>
      </c>
      <c r="B258" t="s">
        <v>412</v>
      </c>
      <c r="C258" t="s">
        <v>20</v>
      </c>
      <c r="D258">
        <v>0.5</v>
      </c>
      <c r="E258" t="s">
        <v>12</v>
      </c>
      <c r="F258">
        <v>20</v>
      </c>
      <c r="G258">
        <v>6</v>
      </c>
      <c r="I258">
        <v>30</v>
      </c>
    </row>
    <row r="259" spans="1:9" x14ac:dyDescent="0.35">
      <c r="A259" t="s">
        <v>413</v>
      </c>
      <c r="B259" t="s">
        <v>414</v>
      </c>
    </row>
    <row r="260" spans="1:9" x14ac:dyDescent="0.35">
      <c r="A260" t="s">
        <v>415</v>
      </c>
      <c r="B260" t="s">
        <v>416</v>
      </c>
    </row>
    <row r="261" spans="1:9" x14ac:dyDescent="0.35">
      <c r="A261" t="s">
        <v>417</v>
      </c>
      <c r="B261" t="s">
        <v>416</v>
      </c>
      <c r="C261" t="s">
        <v>26</v>
      </c>
      <c r="D261">
        <v>0.3</v>
      </c>
      <c r="E261" t="s">
        <v>283</v>
      </c>
      <c r="F261" t="s">
        <v>83</v>
      </c>
      <c r="H261" t="s">
        <v>10</v>
      </c>
      <c r="I261" t="s">
        <v>84</v>
      </c>
    </row>
    <row r="262" spans="1:9" x14ac:dyDescent="0.35">
      <c r="A262" t="s">
        <v>418</v>
      </c>
      <c r="B262" t="s">
        <v>418</v>
      </c>
      <c r="C262" t="s">
        <v>26</v>
      </c>
      <c r="D262">
        <v>0.3</v>
      </c>
      <c r="F262" t="s">
        <v>87</v>
      </c>
      <c r="G262">
        <v>20</v>
      </c>
      <c r="H262" t="s">
        <v>10</v>
      </c>
      <c r="I262" t="s">
        <v>87</v>
      </c>
    </row>
    <row r="263" spans="1:9" x14ac:dyDescent="0.35">
      <c r="A263" t="s">
        <v>419</v>
      </c>
      <c r="B263" t="s">
        <v>420</v>
      </c>
    </row>
    <row r="264" spans="1:9" x14ac:dyDescent="0.35">
      <c r="A264" t="s">
        <v>421</v>
      </c>
      <c r="B264" t="s">
        <v>420</v>
      </c>
      <c r="C264" t="s">
        <v>26</v>
      </c>
      <c r="D264">
        <v>0.3</v>
      </c>
      <c r="E264" t="s">
        <v>283</v>
      </c>
      <c r="F264" t="s">
        <v>83</v>
      </c>
      <c r="H264" t="s">
        <v>10</v>
      </c>
      <c r="I264" t="s">
        <v>84</v>
      </c>
    </row>
    <row r="265" spans="1:9" x14ac:dyDescent="0.35">
      <c r="A265" t="s">
        <v>422</v>
      </c>
      <c r="B265" t="s">
        <v>422</v>
      </c>
      <c r="C265" t="s">
        <v>26</v>
      </c>
      <c r="D265">
        <v>0.3</v>
      </c>
      <c r="F265" t="s">
        <v>87</v>
      </c>
      <c r="G265">
        <v>30</v>
      </c>
      <c r="H265" t="s">
        <v>10</v>
      </c>
      <c r="I265" t="s">
        <v>87</v>
      </c>
    </row>
    <row r="266" spans="1:9" x14ac:dyDescent="0.35">
      <c r="A266" t="s">
        <v>423</v>
      </c>
      <c r="B266" t="s">
        <v>424</v>
      </c>
      <c r="C266" t="s">
        <v>20</v>
      </c>
      <c r="D266">
        <v>0.3</v>
      </c>
      <c r="E266" t="s">
        <v>12</v>
      </c>
      <c r="F266" t="s">
        <v>21</v>
      </c>
      <c r="G266">
        <v>3.6</v>
      </c>
      <c r="H266" t="s">
        <v>14</v>
      </c>
      <c r="I266" t="s">
        <v>21</v>
      </c>
    </row>
    <row r="267" spans="1:9" x14ac:dyDescent="0.35">
      <c r="A267" t="s">
        <v>425</v>
      </c>
      <c r="B267" t="s">
        <v>426</v>
      </c>
    </row>
    <row r="268" spans="1:9" x14ac:dyDescent="0.35">
      <c r="A268" t="s">
        <v>427</v>
      </c>
      <c r="B268" t="s">
        <v>428</v>
      </c>
    </row>
    <row r="269" spans="1:9" x14ac:dyDescent="0.35">
      <c r="A269" t="s">
        <v>429</v>
      </c>
      <c r="B269" t="s">
        <v>430</v>
      </c>
    </row>
    <row r="270" spans="1:9" x14ac:dyDescent="0.35">
      <c r="A270" t="s">
        <v>431</v>
      </c>
      <c r="B270" t="s">
        <v>432</v>
      </c>
      <c r="C270" t="s">
        <v>26</v>
      </c>
      <c r="D270">
        <v>1.3</v>
      </c>
      <c r="E270" t="s">
        <v>433</v>
      </c>
      <c r="F270" t="s">
        <v>21</v>
      </c>
      <c r="H270" t="s">
        <v>14</v>
      </c>
      <c r="I270" t="s">
        <v>21</v>
      </c>
    </row>
    <row r="271" spans="1:9" x14ac:dyDescent="0.35">
      <c r="A271" t="s">
        <v>434</v>
      </c>
      <c r="B271" t="s">
        <v>434</v>
      </c>
    </row>
    <row r="272" spans="1:9" x14ac:dyDescent="0.35">
      <c r="A272" t="s">
        <v>435</v>
      </c>
      <c r="B272" t="s">
        <v>435</v>
      </c>
    </row>
    <row r="273" spans="1:9" x14ac:dyDescent="0.35">
      <c r="A273" t="s">
        <v>436</v>
      </c>
      <c r="B273" t="s">
        <v>437</v>
      </c>
    </row>
    <row r="274" spans="1:9" x14ac:dyDescent="0.35">
      <c r="A274" t="s">
        <v>438</v>
      </c>
      <c r="B274" t="s">
        <v>439</v>
      </c>
    </row>
    <row r="275" spans="1:9" x14ac:dyDescent="0.35">
      <c r="A275" t="s">
        <v>440</v>
      </c>
      <c r="B275" t="s">
        <v>441</v>
      </c>
      <c r="C275" t="s">
        <v>26</v>
      </c>
      <c r="D275">
        <v>0.8</v>
      </c>
      <c r="E275" t="s">
        <v>93</v>
      </c>
      <c r="F275" t="s">
        <v>442</v>
      </c>
      <c r="H275" t="s">
        <v>14</v>
      </c>
      <c r="I275" t="s">
        <v>21</v>
      </c>
    </row>
    <row r="276" spans="1:9" x14ac:dyDescent="0.35">
      <c r="A276" t="s">
        <v>443</v>
      </c>
      <c r="B276" t="s">
        <v>444</v>
      </c>
    </row>
    <row r="277" spans="1:9" x14ac:dyDescent="0.35">
      <c r="A277" t="s">
        <v>445</v>
      </c>
      <c r="B277" t="s">
        <v>446</v>
      </c>
    </row>
    <row r="278" spans="1:9" x14ac:dyDescent="0.35">
      <c r="A278" t="s">
        <v>447</v>
      </c>
      <c r="B278" t="s">
        <v>448</v>
      </c>
    </row>
    <row r="279" spans="1:9" x14ac:dyDescent="0.35">
      <c r="A279" t="s">
        <v>449</v>
      </c>
      <c r="B279" t="s">
        <v>450</v>
      </c>
      <c r="C279" t="s">
        <v>26</v>
      </c>
      <c r="D279">
        <v>0.15</v>
      </c>
      <c r="E279" t="s">
        <v>12</v>
      </c>
      <c r="F279" t="s">
        <v>96</v>
      </c>
      <c r="I279" t="s">
        <v>96</v>
      </c>
    </row>
    <row r="280" spans="1:9" x14ac:dyDescent="0.35">
      <c r="A280" t="s">
        <v>451</v>
      </c>
      <c r="B280" t="s">
        <v>450</v>
      </c>
      <c r="C280" t="s">
        <v>26</v>
      </c>
      <c r="D280">
        <v>0.15</v>
      </c>
      <c r="E280" t="s">
        <v>31</v>
      </c>
      <c r="F280" t="s">
        <v>96</v>
      </c>
      <c r="I280" t="s">
        <v>96</v>
      </c>
    </row>
    <row r="281" spans="1:9" x14ac:dyDescent="0.35">
      <c r="A281" t="s">
        <v>452</v>
      </c>
      <c r="B281" t="s">
        <v>453</v>
      </c>
      <c r="C281" t="s">
        <v>20</v>
      </c>
      <c r="D281">
        <v>0.3</v>
      </c>
      <c r="E281" t="s">
        <v>12</v>
      </c>
      <c r="F281" t="s">
        <v>96</v>
      </c>
      <c r="I281" t="s">
        <v>96</v>
      </c>
    </row>
    <row r="282" spans="1:9" x14ac:dyDescent="0.35">
      <c r="A282" t="s">
        <v>454</v>
      </c>
      <c r="B282" t="s">
        <v>453</v>
      </c>
      <c r="C282" t="s">
        <v>20</v>
      </c>
      <c r="D282">
        <v>0.3</v>
      </c>
      <c r="E282" t="s">
        <v>31</v>
      </c>
      <c r="F282" t="s">
        <v>96</v>
      </c>
      <c r="I282" t="s">
        <v>96</v>
      </c>
    </row>
    <row r="283" spans="1:9" x14ac:dyDescent="0.35">
      <c r="A283" t="s">
        <v>455</v>
      </c>
      <c r="B283" t="s">
        <v>456</v>
      </c>
    </row>
    <row r="284" spans="1:9" x14ac:dyDescent="0.35">
      <c r="A284" t="s">
        <v>457</v>
      </c>
      <c r="B284" t="s">
        <v>456</v>
      </c>
    </row>
    <row r="285" spans="1:9" x14ac:dyDescent="0.35">
      <c r="A285" t="s">
        <v>458</v>
      </c>
      <c r="B285" t="s">
        <v>459</v>
      </c>
      <c r="C285" t="s">
        <v>20</v>
      </c>
      <c r="D285">
        <v>2.5</v>
      </c>
      <c r="E285" t="s">
        <v>47</v>
      </c>
      <c r="F285">
        <v>30</v>
      </c>
      <c r="G285">
        <v>6.3</v>
      </c>
      <c r="I285">
        <v>30</v>
      </c>
    </row>
    <row r="286" spans="1:9" x14ac:dyDescent="0.35">
      <c r="A286" t="s">
        <v>460</v>
      </c>
      <c r="B286" t="s">
        <v>459</v>
      </c>
      <c r="C286" t="s">
        <v>26</v>
      </c>
      <c r="D286">
        <v>2.5</v>
      </c>
      <c r="E286" t="s">
        <v>47</v>
      </c>
      <c r="F286">
        <v>30</v>
      </c>
      <c r="G286">
        <v>6.3</v>
      </c>
      <c r="I286">
        <v>30</v>
      </c>
    </row>
    <row r="287" spans="1:9" x14ac:dyDescent="0.35">
      <c r="A287" t="s">
        <v>461</v>
      </c>
      <c r="B287" t="s">
        <v>462</v>
      </c>
      <c r="C287" t="s">
        <v>20</v>
      </c>
      <c r="D287">
        <v>1.3</v>
      </c>
      <c r="E287" t="s">
        <v>47</v>
      </c>
      <c r="F287">
        <v>30</v>
      </c>
      <c r="G287">
        <v>13.3</v>
      </c>
      <c r="H287" t="s">
        <v>14</v>
      </c>
      <c r="I287">
        <v>30</v>
      </c>
    </row>
    <row r="288" spans="1:9" x14ac:dyDescent="0.35">
      <c r="A288" t="s">
        <v>463</v>
      </c>
      <c r="B288" t="s">
        <v>462</v>
      </c>
      <c r="C288" t="s">
        <v>26</v>
      </c>
      <c r="D288">
        <v>1.3</v>
      </c>
      <c r="E288" t="s">
        <v>47</v>
      </c>
      <c r="F288">
        <v>30</v>
      </c>
      <c r="G288">
        <v>13.3</v>
      </c>
      <c r="H288" t="s">
        <v>14</v>
      </c>
      <c r="I288">
        <v>30</v>
      </c>
    </row>
    <row r="289" spans="1:9" x14ac:dyDescent="0.35">
      <c r="A289" t="s">
        <v>464</v>
      </c>
      <c r="B289" t="s">
        <v>465</v>
      </c>
      <c r="C289" t="s">
        <v>20</v>
      </c>
      <c r="D289">
        <v>1.3</v>
      </c>
      <c r="E289" t="s">
        <v>47</v>
      </c>
      <c r="F289">
        <v>30</v>
      </c>
      <c r="G289">
        <v>16</v>
      </c>
      <c r="H289" t="s">
        <v>14</v>
      </c>
      <c r="I289">
        <v>30</v>
      </c>
    </row>
    <row r="290" spans="1:9" x14ac:dyDescent="0.35">
      <c r="A290" t="s">
        <v>466</v>
      </c>
      <c r="B290" t="s">
        <v>465</v>
      </c>
      <c r="C290" t="s">
        <v>26</v>
      </c>
      <c r="D290">
        <v>1.3</v>
      </c>
      <c r="E290" t="s">
        <v>47</v>
      </c>
      <c r="F290">
        <v>30</v>
      </c>
      <c r="G290">
        <v>16</v>
      </c>
      <c r="H290" t="s">
        <v>14</v>
      </c>
      <c r="I290">
        <v>30</v>
      </c>
    </row>
    <row r="291" spans="1:9" x14ac:dyDescent="0.35">
      <c r="A291" t="s">
        <v>467</v>
      </c>
      <c r="B291" t="s">
        <v>468</v>
      </c>
      <c r="C291" t="s">
        <v>20</v>
      </c>
      <c r="D291">
        <v>1.3</v>
      </c>
      <c r="E291" t="s">
        <v>47</v>
      </c>
      <c r="F291">
        <v>30</v>
      </c>
      <c r="G291">
        <v>26</v>
      </c>
      <c r="H291" t="s">
        <v>14</v>
      </c>
      <c r="I291">
        <v>30</v>
      </c>
    </row>
    <row r="292" spans="1:9" x14ac:dyDescent="0.35">
      <c r="A292" t="s">
        <v>469</v>
      </c>
      <c r="B292" t="s">
        <v>468</v>
      </c>
      <c r="C292" t="s">
        <v>26</v>
      </c>
      <c r="D292">
        <v>1.3</v>
      </c>
      <c r="E292" t="s">
        <v>47</v>
      </c>
      <c r="F292">
        <v>30</v>
      </c>
      <c r="G292">
        <v>26</v>
      </c>
      <c r="H292" t="s">
        <v>14</v>
      </c>
      <c r="I292">
        <v>30</v>
      </c>
    </row>
    <row r="293" spans="1:9" x14ac:dyDescent="0.35">
      <c r="A293" t="s">
        <v>470</v>
      </c>
      <c r="B293" t="s">
        <v>471</v>
      </c>
      <c r="C293" t="s">
        <v>26</v>
      </c>
      <c r="D293">
        <v>11</v>
      </c>
      <c r="E293" t="s">
        <v>472</v>
      </c>
      <c r="F293" t="s">
        <v>21</v>
      </c>
      <c r="G293">
        <v>3.5</v>
      </c>
      <c r="H293" t="s">
        <v>14</v>
      </c>
      <c r="I293" t="s">
        <v>21</v>
      </c>
    </row>
    <row r="294" spans="1:9" x14ac:dyDescent="0.35">
      <c r="A294" t="s">
        <v>473</v>
      </c>
      <c r="B294" t="s">
        <v>474</v>
      </c>
      <c r="C294" t="s">
        <v>26</v>
      </c>
      <c r="D294">
        <v>1.5</v>
      </c>
      <c r="E294" t="s">
        <v>388</v>
      </c>
      <c r="F294" t="s">
        <v>21</v>
      </c>
      <c r="H294" t="s">
        <v>14</v>
      </c>
      <c r="I294" t="s">
        <v>21</v>
      </c>
    </row>
    <row r="295" spans="1:9" x14ac:dyDescent="0.35">
      <c r="A295" t="s">
        <v>475</v>
      </c>
      <c r="B295" t="s">
        <v>476</v>
      </c>
      <c r="C295" t="s">
        <v>26</v>
      </c>
      <c r="D295">
        <v>1.5</v>
      </c>
      <c r="E295" t="s">
        <v>388</v>
      </c>
      <c r="F295" t="s">
        <v>21</v>
      </c>
      <c r="H295" t="s">
        <v>14</v>
      </c>
      <c r="I295" t="s">
        <v>21</v>
      </c>
    </row>
    <row r="296" spans="1:9" x14ac:dyDescent="0.35">
      <c r="A296" t="s">
        <v>477</v>
      </c>
      <c r="B296" t="s">
        <v>478</v>
      </c>
      <c r="C296" t="s">
        <v>26</v>
      </c>
      <c r="D296">
        <v>4.4000000000000004</v>
      </c>
      <c r="E296" t="s">
        <v>388</v>
      </c>
      <c r="F296">
        <v>30</v>
      </c>
      <c r="I296">
        <v>30</v>
      </c>
    </row>
    <row r="297" spans="1:9" x14ac:dyDescent="0.35">
      <c r="A297" t="s">
        <v>479</v>
      </c>
      <c r="B297" t="s">
        <v>480</v>
      </c>
      <c r="C297" t="s">
        <v>26</v>
      </c>
      <c r="D297">
        <v>4.4000000000000004</v>
      </c>
      <c r="E297" t="s">
        <v>388</v>
      </c>
      <c r="F297">
        <v>30</v>
      </c>
      <c r="G297">
        <v>3.5</v>
      </c>
      <c r="I297">
        <v>30</v>
      </c>
    </row>
    <row r="298" spans="1:9" x14ac:dyDescent="0.35">
      <c r="A298" t="s">
        <v>481</v>
      </c>
      <c r="B298" t="s">
        <v>482</v>
      </c>
      <c r="C298" t="s">
        <v>26</v>
      </c>
      <c r="D298">
        <v>0.5</v>
      </c>
      <c r="E298" t="s">
        <v>145</v>
      </c>
      <c r="F298" t="s">
        <v>21</v>
      </c>
      <c r="H298" t="s">
        <v>14</v>
      </c>
      <c r="I298" t="s">
        <v>21</v>
      </c>
    </row>
    <row r="299" spans="1:9" x14ac:dyDescent="0.35">
      <c r="A299" t="s">
        <v>483</v>
      </c>
      <c r="B299" t="s">
        <v>484</v>
      </c>
      <c r="C299" t="s">
        <v>20</v>
      </c>
      <c r="D299">
        <v>3</v>
      </c>
      <c r="E299" t="s">
        <v>47</v>
      </c>
      <c r="F299" t="s">
        <v>21</v>
      </c>
      <c r="H299" t="s">
        <v>14</v>
      </c>
      <c r="I299" t="s">
        <v>21</v>
      </c>
    </row>
    <row r="300" spans="1:9" x14ac:dyDescent="0.35">
      <c r="A300" t="s">
        <v>485</v>
      </c>
      <c r="B300" t="s">
        <v>484</v>
      </c>
      <c r="C300" t="s">
        <v>26</v>
      </c>
      <c r="D300">
        <v>3</v>
      </c>
      <c r="E300" t="s">
        <v>47</v>
      </c>
      <c r="F300" t="s">
        <v>21</v>
      </c>
      <c r="H300" t="s">
        <v>14</v>
      </c>
      <c r="I300" t="s">
        <v>21</v>
      </c>
    </row>
    <row r="301" spans="1:9" x14ac:dyDescent="0.35">
      <c r="A301" t="s">
        <v>486</v>
      </c>
      <c r="B301" t="s">
        <v>486</v>
      </c>
      <c r="C301" t="s">
        <v>26</v>
      </c>
      <c r="D301">
        <v>0.17</v>
      </c>
      <c r="E301" t="s">
        <v>487</v>
      </c>
      <c r="F301">
        <v>15</v>
      </c>
      <c r="G301">
        <v>6.5</v>
      </c>
      <c r="H301" t="s">
        <v>14</v>
      </c>
      <c r="I301">
        <v>20</v>
      </c>
    </row>
    <row r="302" spans="1:9" x14ac:dyDescent="0.35">
      <c r="A302" t="s">
        <v>488</v>
      </c>
      <c r="B302" t="s">
        <v>488</v>
      </c>
      <c r="C302" t="s">
        <v>26</v>
      </c>
      <c r="D302">
        <v>0.3</v>
      </c>
      <c r="E302" t="s">
        <v>283</v>
      </c>
      <c r="F302">
        <v>12</v>
      </c>
      <c r="G302">
        <v>22</v>
      </c>
      <c r="H302" t="s">
        <v>10</v>
      </c>
      <c r="I302">
        <v>16</v>
      </c>
    </row>
    <row r="303" spans="1:9" x14ac:dyDescent="0.35">
      <c r="A303" t="s">
        <v>489</v>
      </c>
      <c r="B303" t="s">
        <v>490</v>
      </c>
      <c r="C303" t="s">
        <v>26</v>
      </c>
      <c r="D303">
        <v>0.4</v>
      </c>
      <c r="E303" t="s">
        <v>12</v>
      </c>
      <c r="F303" t="s">
        <v>491</v>
      </c>
      <c r="H303" t="s">
        <v>14</v>
      </c>
      <c r="I303" t="s">
        <v>21</v>
      </c>
    </row>
    <row r="304" spans="1:9" x14ac:dyDescent="0.35">
      <c r="A304" t="s">
        <v>492</v>
      </c>
      <c r="B304" t="s">
        <v>492</v>
      </c>
      <c r="C304" t="s">
        <v>26</v>
      </c>
      <c r="D304">
        <v>0.3</v>
      </c>
      <c r="E304" t="s">
        <v>283</v>
      </c>
      <c r="F304">
        <v>12</v>
      </c>
      <c r="G304">
        <v>26</v>
      </c>
      <c r="H304" t="s">
        <v>10</v>
      </c>
      <c r="I304">
        <v>16</v>
      </c>
    </row>
    <row r="305" spans="1:9" x14ac:dyDescent="0.35">
      <c r="A305" t="s">
        <v>493</v>
      </c>
      <c r="B305" t="s">
        <v>494</v>
      </c>
      <c r="D305">
        <v>0.18</v>
      </c>
      <c r="E305" t="s">
        <v>283</v>
      </c>
      <c r="F305" t="s">
        <v>84</v>
      </c>
      <c r="H305" t="s">
        <v>10</v>
      </c>
      <c r="I305" t="s">
        <v>84</v>
      </c>
    </row>
    <row r="306" spans="1:9" x14ac:dyDescent="0.35">
      <c r="A306" t="s">
        <v>495</v>
      </c>
      <c r="B306" t="s">
        <v>495</v>
      </c>
      <c r="C306" t="s">
        <v>26</v>
      </c>
      <c r="D306" t="s">
        <v>496</v>
      </c>
      <c r="F306">
        <v>15</v>
      </c>
      <c r="G306">
        <v>5</v>
      </c>
      <c r="H306" t="s">
        <v>10</v>
      </c>
      <c r="I306">
        <v>15</v>
      </c>
    </row>
    <row r="307" spans="1:9" x14ac:dyDescent="0.35">
      <c r="A307" t="s">
        <v>497</v>
      </c>
      <c r="B307" t="s">
        <v>497</v>
      </c>
      <c r="C307" t="s">
        <v>26</v>
      </c>
      <c r="D307">
        <v>0.25</v>
      </c>
      <c r="E307" t="s">
        <v>283</v>
      </c>
      <c r="F307">
        <v>15</v>
      </c>
      <c r="G307">
        <v>5.5</v>
      </c>
      <c r="H307" t="s">
        <v>10</v>
      </c>
      <c r="I307">
        <v>15</v>
      </c>
    </row>
    <row r="308" spans="1:9" x14ac:dyDescent="0.35">
      <c r="A308" t="s">
        <v>498</v>
      </c>
      <c r="B308" t="s">
        <v>498</v>
      </c>
      <c r="C308" t="s">
        <v>26</v>
      </c>
      <c r="D308">
        <v>0.45</v>
      </c>
      <c r="E308" t="s">
        <v>352</v>
      </c>
      <c r="F308">
        <v>30</v>
      </c>
      <c r="G308">
        <v>5.5</v>
      </c>
      <c r="H308" t="s">
        <v>10</v>
      </c>
      <c r="I308">
        <v>30</v>
      </c>
    </row>
    <row r="309" spans="1:9" x14ac:dyDescent="0.35">
      <c r="A309" t="s">
        <v>499</v>
      </c>
      <c r="B309" t="s">
        <v>500</v>
      </c>
      <c r="C309" t="s">
        <v>26</v>
      </c>
      <c r="D309" t="s">
        <v>79</v>
      </c>
      <c r="E309" t="s">
        <v>44</v>
      </c>
      <c r="F309" t="s">
        <v>21</v>
      </c>
      <c r="G309">
        <v>13.3</v>
      </c>
      <c r="H309" t="s">
        <v>14</v>
      </c>
      <c r="I309" t="s">
        <v>21</v>
      </c>
    </row>
    <row r="310" spans="1:9" x14ac:dyDescent="0.35">
      <c r="A310" t="s">
        <v>501</v>
      </c>
      <c r="B310" t="s">
        <v>502</v>
      </c>
      <c r="C310" t="s">
        <v>26</v>
      </c>
      <c r="D310">
        <v>3</v>
      </c>
      <c r="E310" t="s">
        <v>503</v>
      </c>
      <c r="F310">
        <v>4</v>
      </c>
      <c r="I310">
        <v>15</v>
      </c>
    </row>
    <row r="311" spans="1:9" x14ac:dyDescent="0.35">
      <c r="A311" t="s">
        <v>504</v>
      </c>
      <c r="B311" t="s">
        <v>502</v>
      </c>
      <c r="C311" t="s">
        <v>26</v>
      </c>
      <c r="D311">
        <v>3</v>
      </c>
      <c r="E311" t="s">
        <v>503</v>
      </c>
      <c r="F311">
        <v>4</v>
      </c>
      <c r="I311">
        <v>15</v>
      </c>
    </row>
    <row r="312" spans="1:9" x14ac:dyDescent="0.35">
      <c r="A312" t="s">
        <v>505</v>
      </c>
      <c r="B312" t="s">
        <v>502</v>
      </c>
      <c r="C312" t="s">
        <v>26</v>
      </c>
      <c r="D312">
        <v>3</v>
      </c>
      <c r="E312" t="s">
        <v>506</v>
      </c>
      <c r="F312">
        <v>4</v>
      </c>
      <c r="I312">
        <v>15</v>
      </c>
    </row>
    <row r="313" spans="1:9" x14ac:dyDescent="0.35">
      <c r="A313" t="s">
        <v>507</v>
      </c>
      <c r="B313" t="s">
        <v>508</v>
      </c>
      <c r="C313" t="s">
        <v>26</v>
      </c>
      <c r="D313">
        <v>3</v>
      </c>
      <c r="E313" t="s">
        <v>189</v>
      </c>
      <c r="F313">
        <v>4</v>
      </c>
      <c r="I313">
        <v>15</v>
      </c>
    </row>
    <row r="314" spans="1:9" x14ac:dyDescent="0.35">
      <c r="A314" t="s">
        <v>509</v>
      </c>
      <c r="B314" t="s">
        <v>508</v>
      </c>
      <c r="C314" t="s">
        <v>26</v>
      </c>
      <c r="D314">
        <v>3</v>
      </c>
      <c r="E314" t="s">
        <v>189</v>
      </c>
      <c r="F314">
        <v>4</v>
      </c>
      <c r="I314">
        <v>15</v>
      </c>
    </row>
    <row r="315" spans="1:9" x14ac:dyDescent="0.35">
      <c r="A315" t="s">
        <v>510</v>
      </c>
      <c r="B315" t="s">
        <v>508</v>
      </c>
      <c r="C315" t="s">
        <v>26</v>
      </c>
      <c r="D315">
        <v>3</v>
      </c>
      <c r="E315" t="s">
        <v>511</v>
      </c>
      <c r="F315">
        <v>4</v>
      </c>
      <c r="I315">
        <v>15</v>
      </c>
    </row>
    <row r="316" spans="1:9" x14ac:dyDescent="0.35">
      <c r="A316" t="s">
        <v>512</v>
      </c>
      <c r="B316" t="s">
        <v>513</v>
      </c>
      <c r="C316" t="s">
        <v>26</v>
      </c>
      <c r="D316">
        <v>5</v>
      </c>
      <c r="E316" t="s">
        <v>189</v>
      </c>
      <c r="F316">
        <v>8</v>
      </c>
      <c r="H316" t="s">
        <v>10</v>
      </c>
      <c r="I316">
        <v>15</v>
      </c>
    </row>
    <row r="317" spans="1:9" x14ac:dyDescent="0.35">
      <c r="A317" t="s">
        <v>514</v>
      </c>
      <c r="B317" t="s">
        <v>513</v>
      </c>
      <c r="C317" t="s">
        <v>26</v>
      </c>
      <c r="D317">
        <v>5</v>
      </c>
      <c r="E317" t="s">
        <v>189</v>
      </c>
      <c r="F317">
        <v>8</v>
      </c>
      <c r="H317" t="s">
        <v>10</v>
      </c>
      <c r="I317">
        <v>15</v>
      </c>
    </row>
    <row r="318" spans="1:9" x14ac:dyDescent="0.35">
      <c r="A318" t="s">
        <v>515</v>
      </c>
      <c r="B318" t="s">
        <v>513</v>
      </c>
      <c r="C318" t="s">
        <v>26</v>
      </c>
      <c r="D318">
        <v>5</v>
      </c>
      <c r="E318" t="s">
        <v>511</v>
      </c>
      <c r="F318">
        <v>8</v>
      </c>
      <c r="H318" t="s">
        <v>10</v>
      </c>
      <c r="I318">
        <v>15</v>
      </c>
    </row>
    <row r="319" spans="1:9" x14ac:dyDescent="0.35">
      <c r="A319" t="s">
        <v>516</v>
      </c>
      <c r="B319" t="s">
        <v>517</v>
      </c>
      <c r="C319" t="s">
        <v>26</v>
      </c>
      <c r="D319">
        <v>3</v>
      </c>
      <c r="E319" t="s">
        <v>145</v>
      </c>
      <c r="F319">
        <v>8</v>
      </c>
      <c r="I319">
        <v>15</v>
      </c>
    </row>
    <row r="320" spans="1:9" x14ac:dyDescent="0.35">
      <c r="A320" t="s">
        <v>518</v>
      </c>
      <c r="B320" t="s">
        <v>519</v>
      </c>
      <c r="C320" t="s">
        <v>26</v>
      </c>
      <c r="D320">
        <v>5</v>
      </c>
      <c r="E320" t="s">
        <v>189</v>
      </c>
      <c r="F320">
        <v>8</v>
      </c>
      <c r="I320">
        <v>15</v>
      </c>
    </row>
    <row r="321" spans="1:9" x14ac:dyDescent="0.35">
      <c r="A321" t="s">
        <v>520</v>
      </c>
      <c r="B321" t="s">
        <v>519</v>
      </c>
      <c r="C321" t="s">
        <v>26</v>
      </c>
      <c r="D321">
        <v>5</v>
      </c>
      <c r="E321" t="s">
        <v>189</v>
      </c>
      <c r="F321">
        <v>8</v>
      </c>
      <c r="I321">
        <v>15</v>
      </c>
    </row>
    <row r="322" spans="1:9" x14ac:dyDescent="0.35">
      <c r="A322" t="s">
        <v>521</v>
      </c>
      <c r="B322" t="s">
        <v>522</v>
      </c>
      <c r="C322" t="s">
        <v>20</v>
      </c>
      <c r="D322">
        <v>0.5</v>
      </c>
      <c r="E322" t="s">
        <v>121</v>
      </c>
      <c r="F322" t="s">
        <v>523</v>
      </c>
      <c r="H322" t="s">
        <v>14</v>
      </c>
      <c r="I322" t="s">
        <v>50</v>
      </c>
    </row>
    <row r="323" spans="1:9" x14ac:dyDescent="0.35">
      <c r="A323" t="s">
        <v>524</v>
      </c>
      <c r="B323" t="s">
        <v>525</v>
      </c>
      <c r="C323" t="s">
        <v>26</v>
      </c>
      <c r="D323">
        <v>0.3</v>
      </c>
      <c r="E323" t="s">
        <v>526</v>
      </c>
      <c r="F323">
        <f>30 / -23</f>
        <v>-1.3043478260869565</v>
      </c>
      <c r="G323">
        <v>6</v>
      </c>
      <c r="I323">
        <f>30 / -23</f>
        <v>-1.3043478260869565</v>
      </c>
    </row>
    <row r="324" spans="1:9" x14ac:dyDescent="0.35">
      <c r="A324" t="s">
        <v>527</v>
      </c>
      <c r="B324" t="s">
        <v>528</v>
      </c>
      <c r="C324" t="s">
        <v>20</v>
      </c>
      <c r="E324" t="s">
        <v>12</v>
      </c>
      <c r="F324">
        <v>30</v>
      </c>
      <c r="G324">
        <v>13.3</v>
      </c>
      <c r="H324" t="s">
        <v>14</v>
      </c>
      <c r="I324">
        <v>30</v>
      </c>
    </row>
    <row r="325" spans="1:9" x14ac:dyDescent="0.35">
      <c r="A325" t="s">
        <v>529</v>
      </c>
      <c r="B325" t="s">
        <v>528</v>
      </c>
      <c r="C325" t="s">
        <v>20</v>
      </c>
      <c r="E325" t="s">
        <v>12</v>
      </c>
      <c r="F325">
        <v>30</v>
      </c>
      <c r="G325">
        <v>16.7</v>
      </c>
      <c r="H325" t="s">
        <v>14</v>
      </c>
      <c r="I325">
        <v>30</v>
      </c>
    </row>
    <row r="326" spans="1:9" x14ac:dyDescent="0.35">
      <c r="A326" t="s">
        <v>530</v>
      </c>
      <c r="B326" t="s">
        <v>528</v>
      </c>
      <c r="C326" t="s">
        <v>20</v>
      </c>
      <c r="E326" t="s">
        <v>12</v>
      </c>
      <c r="F326">
        <v>24</v>
      </c>
      <c r="G326">
        <v>26.7</v>
      </c>
      <c r="H326" t="s">
        <v>14</v>
      </c>
      <c r="I326">
        <v>30</v>
      </c>
    </row>
    <row r="327" spans="1:9" x14ac:dyDescent="0.35">
      <c r="A327" t="s">
        <v>531</v>
      </c>
      <c r="B327" t="s">
        <v>528</v>
      </c>
      <c r="C327" t="s">
        <v>20</v>
      </c>
      <c r="E327" t="s">
        <v>12</v>
      </c>
      <c r="F327">
        <v>15</v>
      </c>
      <c r="G327">
        <v>40</v>
      </c>
      <c r="H327" t="s">
        <v>14</v>
      </c>
      <c r="I327">
        <v>20</v>
      </c>
    </row>
    <row r="328" spans="1:9" x14ac:dyDescent="0.35">
      <c r="A328" t="s">
        <v>532</v>
      </c>
      <c r="B328" t="s">
        <v>533</v>
      </c>
      <c r="C328" t="s">
        <v>26</v>
      </c>
      <c r="E328" t="s">
        <v>12</v>
      </c>
      <c r="F328">
        <v>30</v>
      </c>
      <c r="G328">
        <v>13.3</v>
      </c>
      <c r="H328" t="s">
        <v>14</v>
      </c>
      <c r="I328">
        <v>30</v>
      </c>
    </row>
    <row r="329" spans="1:9" x14ac:dyDescent="0.35">
      <c r="A329" t="s">
        <v>534</v>
      </c>
      <c r="B329" t="s">
        <v>533</v>
      </c>
      <c r="C329" t="s">
        <v>26</v>
      </c>
      <c r="E329" t="s">
        <v>12</v>
      </c>
      <c r="F329">
        <v>30</v>
      </c>
      <c r="G329">
        <v>16.7</v>
      </c>
      <c r="H329" t="s">
        <v>14</v>
      </c>
      <c r="I329">
        <v>30</v>
      </c>
    </row>
    <row r="330" spans="1:9" x14ac:dyDescent="0.35">
      <c r="A330" t="s">
        <v>535</v>
      </c>
      <c r="B330" t="s">
        <v>533</v>
      </c>
      <c r="C330" t="s">
        <v>26</v>
      </c>
      <c r="E330" t="s">
        <v>12</v>
      </c>
      <c r="F330">
        <v>24</v>
      </c>
      <c r="G330">
        <v>26.7</v>
      </c>
      <c r="H330" t="s">
        <v>14</v>
      </c>
      <c r="I330">
        <v>30</v>
      </c>
    </row>
    <row r="331" spans="1:9" x14ac:dyDescent="0.35">
      <c r="A331" t="s">
        <v>536</v>
      </c>
      <c r="B331" t="s">
        <v>533</v>
      </c>
      <c r="C331" t="s">
        <v>26</v>
      </c>
      <c r="E331" t="s">
        <v>12</v>
      </c>
      <c r="F331">
        <v>15</v>
      </c>
      <c r="G331">
        <v>40</v>
      </c>
      <c r="H331" t="s">
        <v>14</v>
      </c>
      <c r="I331">
        <v>20</v>
      </c>
    </row>
    <row r="332" spans="1:9" x14ac:dyDescent="0.35">
      <c r="A332" t="s">
        <v>537</v>
      </c>
      <c r="B332" t="s">
        <v>538</v>
      </c>
      <c r="C332" t="s">
        <v>26</v>
      </c>
      <c r="D332">
        <v>26</v>
      </c>
      <c r="E332" t="s">
        <v>283</v>
      </c>
      <c r="F332" t="s">
        <v>21</v>
      </c>
      <c r="G332">
        <v>13.3</v>
      </c>
      <c r="H332" t="s">
        <v>10</v>
      </c>
      <c r="I332" t="s">
        <v>21</v>
      </c>
    </row>
    <row r="333" spans="1:9" x14ac:dyDescent="0.35">
      <c r="A333" t="s">
        <v>539</v>
      </c>
      <c r="B333" t="s">
        <v>538</v>
      </c>
      <c r="C333" t="s">
        <v>26</v>
      </c>
      <c r="D333">
        <v>21</v>
      </c>
      <c r="E333" t="s">
        <v>283</v>
      </c>
      <c r="F333" t="s">
        <v>21</v>
      </c>
      <c r="G333">
        <v>16.7</v>
      </c>
      <c r="H333" t="s">
        <v>10</v>
      </c>
      <c r="I333" t="s">
        <v>21</v>
      </c>
    </row>
    <row r="334" spans="1:9" x14ac:dyDescent="0.35">
      <c r="A334" t="s">
        <v>540</v>
      </c>
      <c r="B334" t="s">
        <v>538</v>
      </c>
      <c r="C334" t="s">
        <v>26</v>
      </c>
      <c r="D334">
        <v>13</v>
      </c>
      <c r="E334" t="s">
        <v>283</v>
      </c>
      <c r="F334" t="s">
        <v>491</v>
      </c>
      <c r="G334">
        <v>26.7</v>
      </c>
      <c r="H334" t="s">
        <v>10</v>
      </c>
      <c r="I334" t="s">
        <v>127</v>
      </c>
    </row>
    <row r="335" spans="1:9" x14ac:dyDescent="0.35">
      <c r="A335" t="s">
        <v>541</v>
      </c>
      <c r="B335" t="s">
        <v>538</v>
      </c>
      <c r="C335" t="s">
        <v>26</v>
      </c>
      <c r="D335">
        <v>10</v>
      </c>
      <c r="E335" t="s">
        <v>283</v>
      </c>
      <c r="F335" t="s">
        <v>83</v>
      </c>
      <c r="G335">
        <v>40</v>
      </c>
      <c r="H335" t="s">
        <v>10</v>
      </c>
      <c r="I335" t="s">
        <v>84</v>
      </c>
    </row>
    <row r="336" spans="1:9" x14ac:dyDescent="0.35">
      <c r="A336" t="s">
        <v>542</v>
      </c>
      <c r="B336" t="s">
        <v>543</v>
      </c>
      <c r="C336" t="s">
        <v>20</v>
      </c>
      <c r="D336">
        <v>2</v>
      </c>
      <c r="E336" t="s">
        <v>298</v>
      </c>
      <c r="F336">
        <v>30</v>
      </c>
      <c r="G336">
        <v>0.7</v>
      </c>
      <c r="I336">
        <v>30</v>
      </c>
    </row>
    <row r="337" spans="1:9" x14ac:dyDescent="0.35">
      <c r="A337" t="s">
        <v>544</v>
      </c>
      <c r="B337" t="s">
        <v>545</v>
      </c>
      <c r="C337" t="s">
        <v>26</v>
      </c>
      <c r="D337">
        <v>8</v>
      </c>
      <c r="E337" t="s">
        <v>189</v>
      </c>
      <c r="F337">
        <v>30</v>
      </c>
      <c r="G337">
        <v>6</v>
      </c>
      <c r="I337">
        <v>30</v>
      </c>
    </row>
    <row r="338" spans="1:9" x14ac:dyDescent="0.35">
      <c r="A338" t="s">
        <v>546</v>
      </c>
      <c r="B338" t="s">
        <v>547</v>
      </c>
      <c r="C338" t="s">
        <v>26</v>
      </c>
      <c r="D338">
        <v>8</v>
      </c>
      <c r="E338" t="s">
        <v>189</v>
      </c>
      <c r="F338">
        <v>30</v>
      </c>
      <c r="G338">
        <v>3.5</v>
      </c>
      <c r="I338">
        <v>30</v>
      </c>
    </row>
    <row r="339" spans="1:9" x14ac:dyDescent="0.35">
      <c r="A339" t="s">
        <v>548</v>
      </c>
      <c r="B339" t="s">
        <v>548</v>
      </c>
      <c r="C339" t="s">
        <v>20</v>
      </c>
      <c r="D339">
        <v>1</v>
      </c>
      <c r="E339" t="s">
        <v>145</v>
      </c>
      <c r="F339" t="s">
        <v>21</v>
      </c>
      <c r="G339">
        <v>6</v>
      </c>
      <c r="H339" t="s">
        <v>10</v>
      </c>
      <c r="I339" t="s">
        <v>21</v>
      </c>
    </row>
    <row r="340" spans="1:9" x14ac:dyDescent="0.35">
      <c r="A340" t="s">
        <v>549</v>
      </c>
      <c r="B340" t="s">
        <v>550</v>
      </c>
      <c r="C340" t="s">
        <v>26</v>
      </c>
      <c r="E340" t="s">
        <v>551</v>
      </c>
      <c r="G340">
        <v>77.8</v>
      </c>
    </row>
    <row r="341" spans="1:9" x14ac:dyDescent="0.35">
      <c r="A341" t="s">
        <v>552</v>
      </c>
      <c r="B341" t="s">
        <v>553</v>
      </c>
      <c r="C341" t="s">
        <v>20</v>
      </c>
      <c r="D341">
        <v>0.2</v>
      </c>
      <c r="E341" t="s">
        <v>181</v>
      </c>
      <c r="F341" t="s">
        <v>73</v>
      </c>
      <c r="I341" t="s">
        <v>73</v>
      </c>
    </row>
    <row r="342" spans="1:9" x14ac:dyDescent="0.35">
      <c r="A342" t="s">
        <v>554</v>
      </c>
      <c r="B342" t="s">
        <v>553</v>
      </c>
      <c r="C342" t="s">
        <v>20</v>
      </c>
      <c r="D342">
        <v>0.2</v>
      </c>
      <c r="E342" t="s">
        <v>192</v>
      </c>
      <c r="F342" t="s">
        <v>73</v>
      </c>
      <c r="I342" t="s">
        <v>73</v>
      </c>
    </row>
    <row r="343" spans="1:9" x14ac:dyDescent="0.35">
      <c r="A343" t="s">
        <v>555</v>
      </c>
      <c r="B343" t="s">
        <v>556</v>
      </c>
      <c r="C343" t="s">
        <v>26</v>
      </c>
      <c r="D343">
        <v>0.1</v>
      </c>
      <c r="E343" t="s">
        <v>31</v>
      </c>
      <c r="F343" t="s">
        <v>73</v>
      </c>
      <c r="I343" t="s">
        <v>73</v>
      </c>
    </row>
    <row r="344" spans="1:9" x14ac:dyDescent="0.35">
      <c r="A344" t="s">
        <v>557</v>
      </c>
      <c r="B344" t="s">
        <v>556</v>
      </c>
      <c r="C344" t="s">
        <v>20</v>
      </c>
      <c r="D344">
        <v>0.2</v>
      </c>
      <c r="E344" t="s">
        <v>31</v>
      </c>
      <c r="F344" t="s">
        <v>73</v>
      </c>
      <c r="I344" t="s">
        <v>73</v>
      </c>
    </row>
    <row r="345" spans="1:9" x14ac:dyDescent="0.35">
      <c r="A345" t="s">
        <v>558</v>
      </c>
      <c r="B345" t="s">
        <v>556</v>
      </c>
      <c r="C345" t="s">
        <v>26</v>
      </c>
      <c r="D345">
        <v>0.1</v>
      </c>
      <c r="E345" t="s">
        <v>12</v>
      </c>
      <c r="F345" t="s">
        <v>73</v>
      </c>
      <c r="I345" t="s">
        <v>73</v>
      </c>
    </row>
    <row r="346" spans="1:9" x14ac:dyDescent="0.35">
      <c r="A346" t="s">
        <v>559</v>
      </c>
      <c r="B346" t="s">
        <v>556</v>
      </c>
      <c r="C346" t="s">
        <v>20</v>
      </c>
      <c r="D346">
        <v>0.2</v>
      </c>
      <c r="E346" t="s">
        <v>12</v>
      </c>
      <c r="F346" t="s">
        <v>73</v>
      </c>
      <c r="I34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littelfuse_specs_tvs_array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2026-08-13T08:46:38Z</dcterms:created>
  <dcterms:modified xsi:type="dcterms:W3CDTF">2026-08-19T20:06:56Z</dcterms:modified>
</cp:coreProperties>
</file>